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62319AFF-D9F3-4413-9FC4-E2CBA49AE7CB}"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F9" i="5"/>
  <c r="E9" i="5"/>
  <c r="D9" i="5"/>
  <c r="I8" i="5"/>
  <c r="H8" i="5"/>
  <c r="G8" i="5"/>
  <c r="F8" i="5"/>
  <c r="E8" i="5"/>
  <c r="D8" i="5"/>
  <c r="I7" i="5"/>
  <c r="H7" i="5"/>
  <c r="H10" i="5" s="1"/>
  <c r="G7" i="5"/>
  <c r="G10" i="5" s="1"/>
  <c r="F7" i="5"/>
  <c r="F10" i="5" s="1"/>
  <c r="E7" i="5"/>
  <c r="D7" i="5"/>
  <c r="I5" i="5"/>
  <c r="H5" i="5"/>
  <c r="G5" i="5"/>
  <c r="F5" i="5"/>
  <c r="E5" i="5"/>
  <c r="D5" i="5"/>
  <c r="I4" i="5"/>
  <c r="H4" i="5"/>
  <c r="G4" i="5"/>
  <c r="F4" i="5"/>
  <c r="E4" i="5"/>
  <c r="D4" i="5"/>
  <c r="I3" i="5"/>
  <c r="H3" i="5"/>
  <c r="G3" i="5"/>
  <c r="F3" i="5"/>
  <c r="E3" i="5"/>
  <c r="D3" i="5"/>
  <c r="I2" i="5"/>
  <c r="I6" i="5" s="1"/>
  <c r="H2" i="5"/>
  <c r="H6" i="5" s="1"/>
  <c r="H15" i="5" s="1"/>
  <c r="G2" i="5"/>
  <c r="G6" i="5" s="1"/>
  <c r="F2" i="5"/>
  <c r="F6" i="5" s="1"/>
  <c r="E2" i="5"/>
  <c r="D2" i="5"/>
  <c r="J2" i="5" l="1"/>
  <c r="J4" i="5"/>
  <c r="J7" i="5"/>
  <c r="J9" i="5"/>
  <c r="J12" i="5"/>
  <c r="E10" i="5"/>
  <c r="I10" i="5"/>
  <c r="I15" i="5" s="1"/>
  <c r="E6" i="5"/>
  <c r="J3" i="5"/>
  <c r="J5" i="5"/>
  <c r="J8" i="5"/>
  <c r="J11" i="5"/>
  <c r="J13" i="5"/>
  <c r="F15" i="5"/>
  <c r="G15" i="5"/>
  <c r="D6" i="5"/>
  <c r="D10" i="5"/>
  <c r="J10" i="5" s="1"/>
  <c r="D14" i="5"/>
  <c r="J14" i="5" s="1"/>
  <c r="E15" i="5" l="1"/>
  <c r="D15" i="5"/>
  <c r="J15" i="5" s="1"/>
  <c r="J6" i="5"/>
</calcChain>
</file>

<file path=xl/sharedStrings.xml><?xml version="1.0" encoding="utf-8"?>
<sst xmlns="http://schemas.openxmlformats.org/spreadsheetml/2006/main" count="934" uniqueCount="446">
  <si>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</si>
  <si>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</si>
  <si>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</si>
  <si>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</si>
  <si>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</si>
  <si>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</si>
  <si>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</si>
  <si>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</si>
  <si>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</si>
  <si>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</si>
  <si>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</si>
  <si>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</si>
  <si>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</si>
  <si>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</si>
  <si>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</si>
  <si>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</si>
  <si>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</si>
  <si>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</si>
  <si>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</si>
  <si>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</si>
  <si>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</si>
  <si>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</si>
  <si>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</si>
  <si>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</si>
  <si>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</si>
  <si>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</si>
  <si>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</si>
  <si>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</si>
  <si>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</si>
  <si>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</si>
  <si>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</si>
  <si>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</si>
  <si>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</si>
  <si>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</si>
  <si>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</si>
  <si>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</si>
  <si>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</si>
  <si>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</si>
  <si>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</si>
  <si>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</si>
  <si>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</si>
  <si>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</si>
  <si>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</si>
  <si>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</si>
  <si>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</si>
  <si>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</si>
  <si>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</si>
  <si>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</si>
  <si>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</si>
  <si>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</si>
  <si>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</si>
  <si>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</si>
  <si>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</si>
  <si>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</si>
  <si>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</si>
  <si>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</si>
  <si>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</si>
  <si>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</si>
  <si>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</si>
  <si>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</si>
  <si>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</si>
  <si>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</si>
  <si>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</si>
  <si>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</si>
  <si>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</si>
  <si>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</si>
  <si>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</si>
  <si>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</si>
  <si>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</si>
  <si>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</si>
  <si>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</si>
  <si>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</si>
  <si>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</si>
  <si>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</si>
  <si>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</si>
  <si>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</si>
  <si>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</si>
  <si>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</si>
  <si>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</si>
  <si>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</si>
  <si>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</si>
  <si>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</si>
  <si>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</si>
  <si>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</si>
  <si>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</si>
  <si>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</si>
  <si>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</si>
  <si>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</si>
  <si>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</si>
  <si>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</si>
  <si>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</si>
  <si>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</si>
  <si>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</si>
  <si>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</si>
  <si>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</si>
  <si>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</si>
  <si>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</si>
  <si>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</si>
  <si>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</si>
  <si>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</si>
  <si>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</si>
  <si>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</si>
  <si>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</si>
  <si>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</si>
  <si>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</si>
  <si>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</si>
  <si>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</si>
  <si>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</si>
  <si>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</si>
  <si>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</si>
  <si>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</si>
  <si>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</si>
  <si>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</si>
  <si>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</si>
  <si>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</si>
  <si>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</si>
  <si>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</si>
  <si>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</si>
  <si>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</si>
  <si>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</si>
  <si>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</si>
  <si>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</si>
  <si>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</si>
  <si>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</si>
  <si>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</si>
  <si>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</si>
  <si>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</si>
  <si>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</si>
  <si>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</si>
  <si>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</si>
  <si>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</si>
  <si>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</si>
  <si>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</si>
  <si>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</si>
  <si>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</si>
  <si>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</si>
  <si>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</si>
  <si>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</si>
  <si>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</si>
  <si>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</si>
  <si>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</si>
  <si>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</si>
  <si>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</si>
  <si>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</si>
  <si>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</si>
  <si>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</si>
  <si>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</si>
  <si>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</si>
  <si>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</si>
  <si>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</si>
  <si>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</si>
  <si>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</si>
  <si>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</si>
  <si>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</si>
  <si>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</si>
  <si>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</si>
  <si>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</si>
  <si>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</si>
  <si>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</si>
  <si>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</si>
  <si>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</si>
  <si>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</si>
  <si>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</si>
  <si>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</si>
  <si>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</si>
  <si>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</si>
  <si>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</si>
  <si>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</si>
  <si>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</si>
  <si>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</si>
  <si>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</si>
  <si>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</si>
  <si>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</si>
  <si>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</si>
  <si>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</si>
  <si>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</si>
  <si>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</si>
  <si>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</si>
  <si>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</si>
  <si>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</si>
  <si>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</si>
  <si>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</si>
  <si>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</si>
  <si>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</si>
  <si>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</si>
  <si>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</si>
  <si>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</si>
  <si>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</si>
  <si>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</si>
  <si>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</si>
  <si>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</si>
  <si>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</si>
  <si>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</si>
  <si>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</si>
  <si>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</si>
  <si>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</si>
  <si>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</si>
  <si>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</si>
  <si>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</si>
  <si>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</si>
  <si>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</si>
  <si>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</si>
  <si>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</si>
  <si>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</si>
  <si>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</si>
  <si>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</si>
  <si>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</si>
  <si>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</si>
  <si>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</si>
  <si>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</si>
  <si>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</si>
  <si>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</si>
  <si>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</si>
  <si>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</si>
  <si>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</si>
  <si>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</si>
  <si>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</si>
  <si>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</si>
  <si>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</si>
  <si>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</si>
  <si>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</si>
  <si>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</si>
  <si>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</si>
  <si>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</si>
  <si>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</si>
  <si>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</si>
  <si>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</si>
  <si>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</si>
  <si>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</si>
  <si>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</si>
  <si>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</si>
  <si>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</si>
  <si>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</si>
  <si>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</si>
  <si>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</si>
  <si>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</si>
  <si>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</si>
  <si>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</si>
  <si>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</si>
  <si>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</si>
  <si>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</si>
  <si>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</si>
  <si>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</si>
  <si>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</si>
  <si>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</si>
  <si>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</si>
  <si>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</si>
  <si>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</si>
  <si>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</si>
  <si>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Not Run</t>
  </si>
  <si>
    <t>Kiểm tra luồng hủy hóa đơn chưa thanh toán.</t>
  </si>
  <si>
    <t>Tự thiết kế</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</si>
  <si>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</si>
  <si>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</si>
  <si>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</si>
  <si>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</si>
  <si>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</si>
  <si>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</si>
  <si>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</si>
  <si>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Kiểm tra quy trình tạo Credit note hoàn trả tiền/hàng trong Dolibarr.</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</si>
  <si>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</si>
  <si>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</si>
  <si>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</si>
  <si>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</si>
  <si>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</si>
  <si>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</si>
  <si>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</si>
  <si>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Kiểm tra tính toán số dư công nợ giảm trừ chính xác khi thanh toán từng đợt.</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</si>
  <si>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</si>
  <si>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</si>
  <si>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</si>
  <si>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</si>
  <si>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</si>
  <si>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</si>
  <si>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</si>
  <si>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Kiểm tra hoàn tất thanh toán chuyển trạng thái sang Paid.</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</si>
  <si>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</si>
  <si>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</si>
  <si>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</si>
  <si>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</si>
  <si>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</si>
  <si>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</si>
  <si>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</si>
  <si>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</si>
  <si>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Kiểm tra luồng nhập kho kiểm kê thủ công.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</si>
  <si>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</si>
  <si>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</si>
  <si>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</si>
  <si>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</si>
  <si>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</si>
  <si>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</si>
  <si>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Kiểm tra luồng xuất kho hao hụt kiểm kê.</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</si>
  <si>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</si>
  <si>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</si>
  <si>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</si>
  <si>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</si>
  <si>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</si>
  <si>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</si>
  <si>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</si>
  <si>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hành vi rule tồn kho âm của Dolibarr 22.0.4.</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</si>
  <si>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</si>
  <si>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</si>
  <si>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</si>
  <si>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</si>
  <si>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</si>
  <si>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</si>
  <si>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</si>
  <si>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</si>
  <si>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Kiểm tra cơ chế cảnh báo tự động khi chạm ngưỡng tồn kho tối thiểu.</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</si>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</sst>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19"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customHeight="1" x14ac:dyDescent="0.35">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spans="1:19" ht="100" customHeight="1" x14ac:dyDescent="0.35">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spans="1:19" ht="87" customHeight="1" x14ac:dyDescent="0.35">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spans="1:19" ht="87" customHeight="1" x14ac:dyDescent="0.35">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spans="1:19" ht="101.5" customHeight="1" x14ac:dyDescent="0.35">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spans="1:19" ht="203" customHeight="1" x14ac:dyDescent="0.35">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spans="1:19" ht="101.5" customHeight="1" x14ac:dyDescent="0.35">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spans="1:19" x14ac:dyDescent="0.35">
      <c r="A9" t="s">
        <v>94</v>
      </c>
      <c r="B9" t="s">
        <v>20</v>
      </c>
      <c r="C9" t="s">
        <v>95</v>
      </c>
      <c r="D9" t="s">
        <v>96</v>
      </c>
      <c r="E9" t="s">
        <v>97</v>
      </c>
      <c r="F9" t="s">
        <v>98</v>
      </c>
      <c r="G9" t="s">
        <v>25</v>
      </c>
      <c r="H9" t="s">
        <v>26</v>
      </c>
      <c r="I9" t="s">
        <v>99</v>
      </c>
      <c r="J9" t="s">
        <v>100</v>
      </c>
      <c r="K9" t="s">
        <v>101</v>
      </c>
      <c r="L9" t="s">
        <v>102</v>
      </c>
      <c r="M9" t="s">
        <v>103</v>
      </c>
      <c r="N9" t="s">
        <v>32</v>
      </c>
      <c r="O9" t="s">
        <v>33</v>
      </c>
      <c r="P9" t="s">
        <v>104</v>
      </c>
      <c r="R9" t="s">
        <v>105</v>
      </c>
      <c r="S9" t="s">
        <v>106</v>
      </c>
    </row>
    <row r="10" spans="1:19" x14ac:dyDescent="0.35">
      <c r="A10" t="s">
        <v>107</v>
      </c>
      <c r="B10" t="s">
        <v>20</v>
      </c>
      <c r="C10" t="s">
        <v>108</v>
      </c>
      <c r="D10" t="s">
        <v>109</v>
      </c>
      <c r="E10" t="s">
        <v>110</v>
      </c>
      <c r="F10" t="s">
        <v>66</v>
      </c>
      <c r="G10" t="s">
        <v>25</v>
      </c>
      <c r="H10" t="s">
        <v>26</v>
      </c>
      <c r="I10" t="s">
        <v>111</v>
      </c>
      <c r="J10" t="s">
        <v>112</v>
      </c>
      <c r="K10" t="s">
        <v>113</v>
      </c>
      <c r="L10" t="s">
        <v>114</v>
      </c>
      <c r="M10" t="s">
        <v>115</v>
      </c>
      <c r="N10" t="s">
        <v>32</v>
      </c>
      <c r="O10" t="s">
        <v>33</v>
      </c>
      <c r="P10" t="s">
        <v>116</v>
      </c>
      <c r="R10" t="s">
        <v>117</v>
      </c>
      <c r="S10" t="s">
        <v>106</v>
      </c>
    </row>
    <row r="11" spans="1:19" x14ac:dyDescent="0.35">
      <c r="A11" t="s">
        <v>118</v>
      </c>
      <c r="B11" t="s">
        <v>20</v>
      </c>
      <c r="C11" t="s">
        <v>108</v>
      </c>
      <c r="D11" t="s">
        <v>119</v>
      </c>
      <c r="E11" t="s">
        <v>120</v>
      </c>
      <c r="F11" t="s">
        <v>66</v>
      </c>
      <c r="G11" t="s">
        <v>56</v>
      </c>
      <c r="H11" t="s">
        <v>26</v>
      </c>
      <c r="I11" t="s">
        <v>121</v>
      </c>
      <c r="J11" t="s">
        <v>122</v>
      </c>
      <c r="K11" t="s">
        <v>123</v>
      </c>
      <c r="L11" t="s">
        <v>124</v>
      </c>
      <c r="M11" t="s">
        <v>125</v>
      </c>
      <c r="N11" t="s">
        <v>32</v>
      </c>
      <c r="O11" t="s">
        <v>33</v>
      </c>
      <c r="P11" t="s">
        <v>126</v>
      </c>
      <c r="R11" t="s">
        <v>127</v>
      </c>
      <c r="S11" t="s">
        <v>106</v>
      </c>
    </row>
    <row r="12" spans="1:19" x14ac:dyDescent="0.35">
      <c r="A12" t="s">
        <v>128</v>
      </c>
      <c r="B12" t="s">
        <v>20</v>
      </c>
      <c r="C12" t="s">
        <v>108</v>
      </c>
      <c r="D12" t="s">
        <v>129</v>
      </c>
      <c r="E12" t="s">
        <v>130</v>
      </c>
      <c r="F12" t="s">
        <v>48</v>
      </c>
      <c r="G12" t="s">
        <v>56</v>
      </c>
      <c r="H12" t="s">
        <v>26</v>
      </c>
      <c r="I12" t="s">
        <v>131</v>
      </c>
      <c r="J12" t="s">
        <v>132</v>
      </c>
      <c r="K12" t="s">
        <v>133</v>
      </c>
      <c r="L12" t="s">
        <v>134</v>
      </c>
      <c r="M12" t="s">
        <v>135</v>
      </c>
      <c r="N12" t="s">
        <v>32</v>
      </c>
      <c r="O12" t="s">
        <v>33</v>
      </c>
      <c r="P12" t="s">
        <v>136</v>
      </c>
      <c r="R12" t="s">
        <v>137</v>
      </c>
      <c r="S12" t="s">
        <v>106</v>
      </c>
    </row>
    <row r="13" spans="1:19" x14ac:dyDescent="0.35">
      <c r="A13" t="s">
        <v>138</v>
      </c>
      <c r="B13" t="s">
        <v>20</v>
      </c>
      <c r="C13" t="s">
        <v>139</v>
      </c>
      <c r="D13" t="s">
        <v>140</v>
      </c>
      <c r="E13" t="s">
        <v>141</v>
      </c>
      <c r="F13" t="s">
        <v>98</v>
      </c>
      <c r="G13" t="s">
        <v>25</v>
      </c>
      <c r="H13" t="s">
        <v>26</v>
      </c>
      <c r="I13" t="s">
        <v>142</v>
      </c>
      <c r="J13" t="s">
        <v>143</v>
      </c>
      <c r="K13" t="s">
        <v>144</v>
      </c>
      <c r="L13" t="s">
        <v>145</v>
      </c>
      <c r="M13" t="s">
        <v>146</v>
      </c>
      <c r="N13" t="s">
        <v>32</v>
      </c>
      <c r="O13" t="s">
        <v>33</v>
      </c>
      <c r="P13" t="s">
        <v>147</v>
      </c>
      <c r="R13" t="s">
        <v>148</v>
      </c>
      <c r="S13" t="s">
        <v>106</v>
      </c>
    </row>
    <row r="14" spans="1:19" x14ac:dyDescent="0.35">
      <c r="A14" t="s">
        <v>149</v>
      </c>
      <c r="B14" t="s">
        <v>150</v>
      </c>
      <c r="C14" t="s">
        <v>151</v>
      </c>
      <c r="D14" t="s">
        <v>152</v>
      </c>
      <c r="E14" t="s">
        <v>153</v>
      </c>
      <c r="F14" t="s">
        <v>154</v>
      </c>
      <c r="G14" t="s">
        <v>25</v>
      </c>
      <c r="H14" t="s">
        <v>26</v>
      </c>
      <c r="I14" t="s">
        <v>155</v>
      </c>
      <c r="J14" t="s">
        <v>156</v>
      </c>
      <c r="K14" t="s">
        <v>157</v>
      </c>
      <c r="L14" t="s">
        <v>158</v>
      </c>
      <c r="M14" t="s">
        <v>159</v>
      </c>
      <c r="N14" t="s">
        <v>32</v>
      </c>
      <c r="P14" t="s">
        <v>160</v>
      </c>
      <c r="R14" t="s">
        <v>161</v>
      </c>
      <c r="S14" t="s">
        <v>162</v>
      </c>
    </row>
    <row r="15" spans="1:19" x14ac:dyDescent="0.35">
      <c r="A15" t="s">
        <v>163</v>
      </c>
      <c r="B15" t="s">
        <v>150</v>
      </c>
      <c r="C15" t="s">
        <v>151</v>
      </c>
      <c r="D15" t="s">
        <v>164</v>
      </c>
      <c r="E15" t="s">
        <v>165</v>
      </c>
      <c r="F15" t="s">
        <v>154</v>
      </c>
      <c r="G15" t="s">
        <v>25</v>
      </c>
      <c r="H15" t="s">
        <v>26</v>
      </c>
      <c r="I15" t="s">
        <v>166</v>
      </c>
      <c r="J15" t="s">
        <v>167</v>
      </c>
      <c r="K15" t="s">
        <v>168</v>
      </c>
      <c r="L15" t="s">
        <v>169</v>
      </c>
      <c r="M15" t="s">
        <v>170</v>
      </c>
      <c r="N15" t="s">
        <v>32</v>
      </c>
      <c r="P15" t="s">
        <v>171</v>
      </c>
      <c r="R15" t="s">
        <v>172</v>
      </c>
      <c r="S15" t="s">
        <v>162</v>
      </c>
    </row>
    <row r="16" spans="1:19" x14ac:dyDescent="0.35">
      <c r="A16" t="s">
        <v>173</v>
      </c>
      <c r="B16" t="s">
        <v>150</v>
      </c>
      <c r="C16" t="s">
        <v>151</v>
      </c>
      <c r="D16" t="s">
        <v>174</v>
      </c>
      <c r="E16" t="s">
        <v>175</v>
      </c>
      <c r="F16" t="s">
        <v>154</v>
      </c>
      <c r="G16" t="s">
        <v>25</v>
      </c>
      <c r="H16" t="s">
        <v>26</v>
      </c>
      <c r="I16" t="s">
        <v>176</v>
      </c>
      <c r="J16" t="s">
        <v>177</v>
      </c>
      <c r="K16" t="s">
        <v>178</v>
      </c>
      <c r="L16" t="s">
        <v>179</v>
      </c>
      <c r="M16" t="s">
        <v>180</v>
      </c>
      <c r="N16" t="s">
        <v>32</v>
      </c>
      <c r="P16" t="s">
        <v>181</v>
      </c>
      <c r="R16" t="s">
        <v>182</v>
      </c>
      <c r="S16" t="s">
        <v>162</v>
      </c>
    </row>
    <row r="17" spans="1:19" x14ac:dyDescent="0.35">
      <c r="A17" t="s">
        <v>183</v>
      </c>
      <c r="B17" t="s">
        <v>150</v>
      </c>
      <c r="C17" t="s">
        <v>151</v>
      </c>
      <c r="D17" t="s">
        <v>184</v>
      </c>
      <c r="E17" t="s">
        <v>185</v>
      </c>
      <c r="F17" t="s">
        <v>186</v>
      </c>
      <c r="G17" t="s">
        <v>25</v>
      </c>
      <c r="H17" t="s">
        <v>26</v>
      </c>
      <c r="I17" t="s">
        <v>187</v>
      </c>
      <c r="J17" t="s">
        <v>188</v>
      </c>
      <c r="K17" t="s">
        <v>189</v>
      </c>
      <c r="L17" t="s">
        <v>190</v>
      </c>
      <c r="M17" t="s">
        <v>191</v>
      </c>
      <c r="N17" t="s">
        <v>32</v>
      </c>
      <c r="P17" t="s">
        <v>192</v>
      </c>
      <c r="R17" t="s">
        <v>193</v>
      </c>
      <c r="S17" t="s">
        <v>162</v>
      </c>
    </row>
    <row r="18" spans="1:19" x14ac:dyDescent="0.35">
      <c r="A18" t="s">
        <v>194</v>
      </c>
      <c r="B18" t="s">
        <v>150</v>
      </c>
      <c r="C18" t="s">
        <v>151</v>
      </c>
      <c r="D18" t="s">
        <v>195</v>
      </c>
      <c r="E18" t="s">
        <v>196</v>
      </c>
      <c r="F18" t="s">
        <v>186</v>
      </c>
      <c r="G18" t="s">
        <v>25</v>
      </c>
      <c r="H18" t="s">
        <v>26</v>
      </c>
      <c r="I18" t="s">
        <v>197</v>
      </c>
      <c r="J18" t="s">
        <v>198</v>
      </c>
      <c r="K18" t="s">
        <v>199</v>
      </c>
      <c r="L18" t="s">
        <v>200</v>
      </c>
      <c r="M18" t="s">
        <v>201</v>
      </c>
      <c r="N18" t="s">
        <v>32</v>
      </c>
      <c r="P18" t="s">
        <v>202</v>
      </c>
      <c r="R18" t="s">
        <v>203</v>
      </c>
      <c r="S18" t="s">
        <v>162</v>
      </c>
    </row>
    <row r="19" spans="1:19" x14ac:dyDescent="0.35">
      <c r="A19" t="s">
        <v>204</v>
      </c>
      <c r="B19" t="s">
        <v>150</v>
      </c>
      <c r="C19" t="s">
        <v>205</v>
      </c>
      <c r="D19" t="s">
        <v>206</v>
      </c>
      <c r="E19" t="s">
        <v>207</v>
      </c>
      <c r="F19" t="s">
        <v>154</v>
      </c>
      <c r="G19" t="s">
        <v>25</v>
      </c>
      <c r="H19" t="s">
        <v>26</v>
      </c>
      <c r="I19" t="s">
        <v>208</v>
      </c>
      <c r="J19" t="s">
        <v>209</v>
      </c>
      <c r="K19" t="s">
        <v>210</v>
      </c>
      <c r="L19" t="s">
        <v>211</v>
      </c>
      <c r="M19" t="s">
        <v>212</v>
      </c>
      <c r="N19" t="s">
        <v>32</v>
      </c>
      <c r="P19" t="s">
        <v>213</v>
      </c>
      <c r="R19" t="s">
        <v>214</v>
      </c>
      <c r="S19" t="s">
        <v>162</v>
      </c>
    </row>
    <row r="20" spans="1:19" x14ac:dyDescent="0.35">
      <c r="A20" t="s">
        <v>215</v>
      </c>
      <c r="B20" t="s">
        <v>216</v>
      </c>
      <c r="C20" t="s">
        <v>205</v>
      </c>
      <c r="D20" t="s">
        <v>217</v>
      </c>
      <c r="E20" t="s">
        <v>218</v>
      </c>
      <c r="F20" t="s">
        <v>186</v>
      </c>
      <c r="G20" t="s">
        <v>25</v>
      </c>
      <c r="H20" t="s">
        <v>26</v>
      </c>
      <c r="I20" t="s">
        <v>219</v>
      </c>
      <c r="J20" t="s">
        <v>220</v>
      </c>
      <c r="K20" t="s">
        <v>189</v>
      </c>
      <c r="L20" t="s">
        <v>221</v>
      </c>
      <c r="M20" t="s">
        <v>222</v>
      </c>
      <c r="N20" t="s">
        <v>32</v>
      </c>
      <c r="P20" t="s">
        <v>223</v>
      </c>
      <c r="R20" t="s">
        <v>224</v>
      </c>
      <c r="S20" t="s">
        <v>162</v>
      </c>
    </row>
    <row r="21" spans="1:19" x14ac:dyDescent="0.35">
      <c r="A21" t="s">
        <v>225</v>
      </c>
      <c r="B21" t="s">
        <v>226</v>
      </c>
      <c r="C21" t="s">
        <v>227</v>
      </c>
      <c r="D21" t="s">
        <v>228</v>
      </c>
      <c r="E21" t="s">
        <v>229</v>
      </c>
      <c r="F21" t="s">
        <v>230</v>
      </c>
      <c r="G21" t="s">
        <v>25</v>
      </c>
      <c r="H21" t="s">
        <v>26</v>
      </c>
      <c r="I21" t="s">
        <v>231</v>
      </c>
      <c r="J21" t="s">
        <v>232</v>
      </c>
      <c r="K21" t="s">
        <v>233</v>
      </c>
      <c r="L21" t="s">
        <v>234</v>
      </c>
      <c r="M21" t="s">
        <v>235</v>
      </c>
      <c r="N21" t="s">
        <v>32</v>
      </c>
      <c r="P21" t="s">
        <v>236</v>
      </c>
      <c r="R21" t="s">
        <v>237</v>
      </c>
      <c r="S21" t="s">
        <v>238</v>
      </c>
    </row>
    <row r="22" spans="1:19" x14ac:dyDescent="0.35">
      <c r="A22" t="s">
        <v>239</v>
      </c>
      <c r="B22" t="s">
        <v>150</v>
      </c>
      <c r="C22" t="s">
        <v>240</v>
      </c>
      <c r="D22" t="s">
        <v>241</v>
      </c>
      <c r="E22" t="s">
        <v>242</v>
      </c>
      <c r="F22" t="s">
        <v>243</v>
      </c>
      <c r="G22" t="s">
        <v>25</v>
      </c>
      <c r="H22" t="s">
        <v>244</v>
      </c>
      <c r="I22" t="s">
        <v>245</v>
      </c>
      <c r="J22" t="s">
        <v>246</v>
      </c>
      <c r="K22" t="s">
        <v>247</v>
      </c>
      <c r="L22" t="s">
        <v>248</v>
      </c>
      <c r="N22" t="s">
        <v>249</v>
      </c>
      <c r="R22" t="s">
        <v>250</v>
      </c>
      <c r="S22" t="s">
        <v>251</v>
      </c>
    </row>
    <row r="23" spans="1:19" x14ac:dyDescent="0.35">
      <c r="A23" t="s">
        <v>252</v>
      </c>
      <c r="B23" t="s">
        <v>150</v>
      </c>
      <c r="C23" t="s">
        <v>240</v>
      </c>
      <c r="D23" t="s">
        <v>253</v>
      </c>
      <c r="E23" t="s">
        <v>254</v>
      </c>
      <c r="F23" t="s">
        <v>243</v>
      </c>
      <c r="G23" t="s">
        <v>25</v>
      </c>
      <c r="H23" t="s">
        <v>244</v>
      </c>
      <c r="I23" t="s">
        <v>255</v>
      </c>
      <c r="J23" t="s">
        <v>256</v>
      </c>
      <c r="K23" t="s">
        <v>257</v>
      </c>
      <c r="L23" t="s">
        <v>258</v>
      </c>
      <c r="N23" t="s">
        <v>249</v>
      </c>
      <c r="R23" t="s">
        <v>259</v>
      </c>
      <c r="S23" t="s">
        <v>251</v>
      </c>
    </row>
    <row r="24" spans="1:19" x14ac:dyDescent="0.35">
      <c r="A24" t="s">
        <v>260</v>
      </c>
      <c r="B24" t="s">
        <v>150</v>
      </c>
      <c r="C24" t="s">
        <v>240</v>
      </c>
      <c r="D24" t="s">
        <v>261</v>
      </c>
      <c r="E24" t="s">
        <v>262</v>
      </c>
      <c r="F24" t="s">
        <v>24</v>
      </c>
      <c r="G24" t="s">
        <v>25</v>
      </c>
      <c r="H24" t="s">
        <v>244</v>
      </c>
      <c r="I24" t="s">
        <v>263</v>
      </c>
      <c r="J24" t="s">
        <v>264</v>
      </c>
      <c r="K24" t="s">
        <v>265</v>
      </c>
      <c r="L24" t="s">
        <v>266</v>
      </c>
      <c r="N24" t="s">
        <v>249</v>
      </c>
      <c r="R24" t="s">
        <v>267</v>
      </c>
      <c r="S24" t="s">
        <v>251</v>
      </c>
    </row>
    <row r="25" spans="1:19" x14ac:dyDescent="0.35">
      <c r="A25" t="s">
        <v>268</v>
      </c>
      <c r="B25" t="s">
        <v>150</v>
      </c>
      <c r="C25" t="s">
        <v>240</v>
      </c>
      <c r="D25" t="s">
        <v>269</v>
      </c>
      <c r="E25" t="s">
        <v>270</v>
      </c>
      <c r="F25" t="s">
        <v>243</v>
      </c>
      <c r="G25" t="s">
        <v>25</v>
      </c>
      <c r="H25" t="s">
        <v>244</v>
      </c>
      <c r="I25" t="s">
        <v>271</v>
      </c>
      <c r="J25" t="s">
        <v>272</v>
      </c>
      <c r="K25" t="s">
        <v>273</v>
      </c>
      <c r="L25" t="s">
        <v>274</v>
      </c>
      <c r="N25" t="s">
        <v>249</v>
      </c>
      <c r="R25" t="s">
        <v>275</v>
      </c>
      <c r="S25" t="s">
        <v>251</v>
      </c>
    </row>
    <row r="26" spans="1:19" x14ac:dyDescent="0.35">
      <c r="A26" t="s">
        <v>276</v>
      </c>
      <c r="B26" t="s">
        <v>226</v>
      </c>
      <c r="C26" t="s">
        <v>277</v>
      </c>
      <c r="D26" t="s">
        <v>278</v>
      </c>
      <c r="E26" t="s">
        <v>279</v>
      </c>
      <c r="F26" t="s">
        <v>66</v>
      </c>
      <c r="G26" t="s">
        <v>25</v>
      </c>
      <c r="H26" t="s">
        <v>244</v>
      </c>
      <c r="I26" t="s">
        <v>280</v>
      </c>
      <c r="J26" t="s">
        <v>281</v>
      </c>
      <c r="K26" t="s">
        <v>282</v>
      </c>
      <c r="L26" t="s">
        <v>283</v>
      </c>
      <c r="N26" t="s">
        <v>249</v>
      </c>
      <c r="R26" t="s">
        <v>284</v>
      </c>
      <c r="S26" t="s">
        <v>251</v>
      </c>
    </row>
    <row r="27" spans="1:19" x14ac:dyDescent="0.35">
      <c r="A27" t="s">
        <v>285</v>
      </c>
      <c r="B27" t="s">
        <v>226</v>
      </c>
      <c r="C27" t="s">
        <v>277</v>
      </c>
      <c r="D27" t="s">
        <v>278</v>
      </c>
      <c r="E27" t="s">
        <v>286</v>
      </c>
      <c r="F27" t="s">
        <v>66</v>
      </c>
      <c r="G27" t="s">
        <v>25</v>
      </c>
      <c r="H27" t="s">
        <v>244</v>
      </c>
      <c r="I27" t="s">
        <v>287</v>
      </c>
      <c r="J27" t="s">
        <v>288</v>
      </c>
      <c r="K27" t="s">
        <v>289</v>
      </c>
      <c r="L27" t="s">
        <v>290</v>
      </c>
      <c r="N27" t="s">
        <v>249</v>
      </c>
      <c r="R27" t="s">
        <v>291</v>
      </c>
      <c r="S27" t="s">
        <v>251</v>
      </c>
    </row>
    <row r="28" spans="1:19" x14ac:dyDescent="0.35">
      <c r="A28" t="s">
        <v>292</v>
      </c>
      <c r="B28" t="s">
        <v>226</v>
      </c>
      <c r="C28" t="s">
        <v>277</v>
      </c>
      <c r="D28" t="s">
        <v>293</v>
      </c>
      <c r="E28" t="s">
        <v>294</v>
      </c>
      <c r="F28" t="s">
        <v>24</v>
      </c>
      <c r="G28" t="s">
        <v>56</v>
      </c>
      <c r="H28" t="s">
        <v>244</v>
      </c>
      <c r="I28" t="s">
        <v>295</v>
      </c>
      <c r="J28" t="s">
        <v>296</v>
      </c>
      <c r="K28" t="s">
        <v>297</v>
      </c>
      <c r="L28" t="s">
        <v>298</v>
      </c>
      <c r="N28" t="s">
        <v>249</v>
      </c>
      <c r="R28" t="s">
        <v>299</v>
      </c>
      <c r="S28" t="s">
        <v>251</v>
      </c>
    </row>
    <row r="29" spans="1:19" x14ac:dyDescent="0.35">
      <c r="A29" t="s">
        <v>300</v>
      </c>
      <c r="B29" t="s">
        <v>226</v>
      </c>
      <c r="C29" t="s">
        <v>301</v>
      </c>
      <c r="D29" t="s">
        <v>302</v>
      </c>
      <c r="E29" t="s">
        <v>303</v>
      </c>
      <c r="F29" t="s">
        <v>24</v>
      </c>
      <c r="G29" t="s">
        <v>25</v>
      </c>
      <c r="H29" t="s">
        <v>244</v>
      </c>
      <c r="I29" t="s">
        <v>304</v>
      </c>
      <c r="J29" t="s">
        <v>305</v>
      </c>
      <c r="K29" t="s">
        <v>306</v>
      </c>
      <c r="L29" t="s">
        <v>307</v>
      </c>
      <c r="N29" t="s">
        <v>249</v>
      </c>
      <c r="R29" t="s">
        <v>308</v>
      </c>
      <c r="S29" t="s">
        <v>251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5" x14ac:dyDescent="0.35"/>
  <sheetData>
    <row r="1" spans="1:5" x14ac:dyDescent="0.35">
      <c r="A1" t="s">
        <v>309</v>
      </c>
      <c r="B1" t="s">
        <v>310</v>
      </c>
      <c r="C1" t="s">
        <v>311</v>
      </c>
      <c r="D1" t="s">
        <v>312</v>
      </c>
      <c r="E1" t="s">
        <v>313</v>
      </c>
    </row>
    <row r="2" spans="1:5" x14ac:dyDescent="0.35">
      <c r="A2" t="s">
        <v>19</v>
      </c>
      <c r="B2" t="s">
        <v>29</v>
      </c>
      <c r="C2" t="s">
        <v>314</v>
      </c>
      <c r="D2" t="s">
        <v>315</v>
      </c>
      <c r="E2" t="s">
        <v>316</v>
      </c>
    </row>
    <row r="3" spans="1:5" x14ac:dyDescent="0.35">
      <c r="A3" t="s">
        <v>37</v>
      </c>
      <c r="B3" t="s">
        <v>40</v>
      </c>
      <c r="C3" t="s">
        <v>314</v>
      </c>
      <c r="D3" t="s">
        <v>315</v>
      </c>
      <c r="E3" t="s">
        <v>317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318</v>
      </c>
      <c r="C1" t="s">
        <v>1</v>
      </c>
      <c r="D1" t="s">
        <v>319</v>
      </c>
      <c r="E1" t="s">
        <v>320</v>
      </c>
      <c r="F1" t="s">
        <v>321</v>
      </c>
      <c r="G1" t="s">
        <v>322</v>
      </c>
      <c r="H1" t="s">
        <v>323</v>
      </c>
      <c r="I1" t="s">
        <v>324</v>
      </c>
      <c r="J1" t="s">
        <v>325</v>
      </c>
      <c r="K1" t="s">
        <v>326</v>
      </c>
      <c r="L1" t="s">
        <v>327</v>
      </c>
      <c r="M1" t="s">
        <v>328</v>
      </c>
      <c r="N1" t="s">
        <v>329</v>
      </c>
    </row>
    <row r="2" spans="1:14" x14ac:dyDescent="0.35">
      <c r="A2" t="s">
        <v>83</v>
      </c>
      <c r="B2" t="s">
        <v>330</v>
      </c>
      <c r="C2" t="s">
        <v>20</v>
      </c>
      <c r="D2" t="s">
        <v>73</v>
      </c>
      <c r="E2" t="s">
        <v>331</v>
      </c>
      <c r="F2" t="s">
        <v>332</v>
      </c>
      <c r="G2" t="s">
        <v>333</v>
      </c>
      <c r="H2" t="s">
        <v>334</v>
      </c>
      <c r="I2" t="s">
        <v>335</v>
      </c>
      <c r="J2" t="s">
        <v>56</v>
      </c>
      <c r="K2" t="s">
        <v>336</v>
      </c>
      <c r="L2" t="s">
        <v>82</v>
      </c>
      <c r="M2" t="s">
        <v>81</v>
      </c>
      <c r="N2" t="s">
        <v>337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5" x14ac:dyDescent="0.35"/>
  <sheetData>
    <row r="1" spans="1:10" x14ac:dyDescent="0.35">
      <c r="A1" t="s">
        <v>338</v>
      </c>
      <c r="B1" t="s">
        <v>339</v>
      </c>
      <c r="C1" t="s">
        <v>340</v>
      </c>
      <c r="D1" t="s">
        <v>341</v>
      </c>
      <c r="E1" t="s">
        <v>342</v>
      </c>
      <c r="F1" t="s">
        <v>343</v>
      </c>
      <c r="G1" t="s">
        <v>344</v>
      </c>
      <c r="H1" t="s">
        <v>345</v>
      </c>
      <c r="I1" t="s">
        <v>346</v>
      </c>
      <c r="J1" t="s">
        <v>347</v>
      </c>
    </row>
    <row r="2" spans="1:10" x14ac:dyDescent="0.35">
      <c r="A2">
        <v>1</v>
      </c>
      <c r="B2" t="s">
        <v>348</v>
      </c>
      <c r="C2" t="s">
        <v>349</v>
      </c>
      <c r="D2" t="s">
        <v>350</v>
      </c>
      <c r="E2" t="s">
        <v>351</v>
      </c>
      <c r="F2" t="s">
        <v>352</v>
      </c>
      <c r="G2" t="s">
        <v>353</v>
      </c>
      <c r="H2" t="s">
        <v>354</v>
      </c>
      <c r="I2" t="s">
        <v>355</v>
      </c>
      <c r="J2" t="s">
        <v>356</v>
      </c>
    </row>
    <row r="3" spans="1:10" x14ac:dyDescent="0.35">
      <c r="A3">
        <v>2</v>
      </c>
      <c r="B3" t="s">
        <v>357</v>
      </c>
      <c r="C3" t="s">
        <v>358</v>
      </c>
      <c r="D3" t="s">
        <v>350</v>
      </c>
      <c r="E3" t="s">
        <v>359</v>
      </c>
      <c r="F3" t="s">
        <v>360</v>
      </c>
      <c r="G3" t="s">
        <v>361</v>
      </c>
      <c r="H3" t="s">
        <v>362</v>
      </c>
      <c r="I3" t="s">
        <v>363</v>
      </c>
      <c r="J3" t="s">
        <v>364</v>
      </c>
    </row>
    <row r="4" spans="1:10" x14ac:dyDescent="0.35">
      <c r="A4">
        <v>3</v>
      </c>
      <c r="B4" t="s">
        <v>357</v>
      </c>
      <c r="C4" t="s">
        <v>365</v>
      </c>
      <c r="D4" t="s">
        <v>366</v>
      </c>
      <c r="E4" t="s">
        <v>367</v>
      </c>
      <c r="F4" t="s">
        <v>368</v>
      </c>
      <c r="G4" t="s">
        <v>369</v>
      </c>
      <c r="H4" t="s">
        <v>362</v>
      </c>
      <c r="I4" t="s">
        <v>370</v>
      </c>
      <c r="J4" t="s">
        <v>371</v>
      </c>
    </row>
    <row r="5" spans="1:10" x14ac:dyDescent="0.35">
      <c r="A5">
        <v>4</v>
      </c>
      <c r="B5" t="s">
        <v>372</v>
      </c>
      <c r="C5" t="s">
        <v>365</v>
      </c>
      <c r="D5" t="s">
        <v>366</v>
      </c>
      <c r="E5" t="s">
        <v>373</v>
      </c>
      <c r="F5" t="s">
        <v>374</v>
      </c>
      <c r="G5" t="s">
        <v>375</v>
      </c>
      <c r="H5" t="s">
        <v>376</v>
      </c>
      <c r="I5" t="s">
        <v>377</v>
      </c>
      <c r="J5" t="s">
        <v>378</v>
      </c>
    </row>
    <row r="6" spans="1:10" x14ac:dyDescent="0.35">
      <c r="A6">
        <v>5</v>
      </c>
      <c r="B6" t="s">
        <v>33</v>
      </c>
      <c r="C6" t="s">
        <v>379</v>
      </c>
      <c r="D6" t="s">
        <v>366</v>
      </c>
      <c r="E6" t="s">
        <v>380</v>
      </c>
      <c r="F6" t="s">
        <v>381</v>
      </c>
      <c r="G6" t="s">
        <v>382</v>
      </c>
      <c r="H6" t="s">
        <v>362</v>
      </c>
      <c r="I6" t="s">
        <v>383</v>
      </c>
      <c r="J6" t="s">
        <v>384</v>
      </c>
    </row>
    <row r="7" spans="1:10" x14ac:dyDescent="0.35">
      <c r="A7">
        <v>6</v>
      </c>
      <c r="B7" t="s">
        <v>81</v>
      </c>
      <c r="C7" t="s">
        <v>385</v>
      </c>
      <c r="D7" t="s">
        <v>386</v>
      </c>
      <c r="E7" t="s">
        <v>387</v>
      </c>
      <c r="F7" t="s">
        <v>388</v>
      </c>
      <c r="G7" t="s">
        <v>389</v>
      </c>
      <c r="H7" t="s">
        <v>390</v>
      </c>
      <c r="I7" t="s">
        <v>391</v>
      </c>
      <c r="J7" t="s">
        <v>392</v>
      </c>
    </row>
    <row r="8" spans="1:10" x14ac:dyDescent="0.35">
      <c r="A8">
        <v>7</v>
      </c>
      <c r="B8" t="s">
        <v>81</v>
      </c>
      <c r="C8" t="s">
        <v>393</v>
      </c>
      <c r="D8" t="s">
        <v>394</v>
      </c>
      <c r="E8" t="s">
        <v>395</v>
      </c>
      <c r="F8" t="s">
        <v>396</v>
      </c>
    </row>
    <row r="9" spans="1:10" x14ac:dyDescent="0.35">
      <c r="A9">
        <v>8</v>
      </c>
      <c r="B9" t="s">
        <v>81</v>
      </c>
      <c r="C9" t="s">
        <v>379</v>
      </c>
      <c r="D9" t="s">
        <v>397</v>
      </c>
      <c r="E9" t="s">
        <v>398</v>
      </c>
      <c r="F9" t="s">
        <v>399</v>
      </c>
      <c r="G9" t="s">
        <v>400</v>
      </c>
      <c r="H9" t="s">
        <v>401</v>
      </c>
      <c r="I9" t="s">
        <v>402</v>
      </c>
      <c r="J9" t="s">
        <v>403</v>
      </c>
    </row>
    <row r="10" spans="1:10" x14ac:dyDescent="0.35">
      <c r="A10">
        <v>9</v>
      </c>
      <c r="B10" t="s">
        <v>81</v>
      </c>
      <c r="C10" t="s">
        <v>404</v>
      </c>
      <c r="D10" t="s">
        <v>366</v>
      </c>
      <c r="E10" t="s">
        <v>405</v>
      </c>
      <c r="F10" t="s">
        <v>406</v>
      </c>
      <c r="G10" t="s">
        <v>407</v>
      </c>
      <c r="H10" t="s">
        <v>408</v>
      </c>
      <c r="I10" t="s">
        <v>409</v>
      </c>
      <c r="J10" t="s">
        <v>410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411</v>
      </c>
      <c r="D1" t="s">
        <v>412</v>
      </c>
      <c r="E1" t="s">
        <v>26</v>
      </c>
      <c r="F1" t="s">
        <v>244</v>
      </c>
      <c r="G1" t="s">
        <v>413</v>
      </c>
      <c r="H1" t="s">
        <v>414</v>
      </c>
      <c r="I1" t="s">
        <v>249</v>
      </c>
      <c r="J1" t="s">
        <v>415</v>
      </c>
    </row>
    <row r="2" spans="1:10" x14ac:dyDescent="0.35">
      <c r="A2" t="s">
        <v>20</v>
      </c>
      <c r="B2" t="s">
        <v>21</v>
      </c>
      <c r="C2" t="s">
        <v>416</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20</v>
      </c>
      <c r="B3" t="s">
        <v>95</v>
      </c>
      <c r="C3" t="s">
        <v>417</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20</v>
      </c>
      <c r="B4" t="s">
        <v>108</v>
      </c>
      <c r="C4" t="s">
        <v>418</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20</v>
      </c>
      <c r="B5" t="s">
        <v>139</v>
      </c>
      <c r="C5" t="s">
        <v>419</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420</v>
      </c>
      <c r="B6" s="4" t="s">
        <v>421</v>
      </c>
      <c r="C6" s="4" t="s">
        <v>422</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423</v>
      </c>
      <c r="B7" t="s">
        <v>151</v>
      </c>
      <c r="C7" t="s">
        <v>424</v>
      </c>
      <c r="D7">
        <f>COUNTIF('Test Cases'!$C:$C, B7)</f>
        <v>5</v>
      </c>
      <c r="E7">
        <f>COUNTIFS('Test Cases'!$C:$C, B7, 'Test Cases'!$H:$H, "Auto")</f>
        <v>5</v>
      </c>
      <c r="F7">
        <f>COUNTIFS('Test Cases'!$C:$C, B7, 'Test Cases'!$H:$H, "Manual")</f>
        <v>0</v>
      </c>
      <c r="G7">
        <f>COUNTIFS('Test Cases'!$C:$C, B7, 'Test Cases'!$N:$N, "Pass")</f>
        <v>5</v>
      </c>
      <c r="H7">
        <f>COUNTIFS('Test Cases'!$C:$C, B7, 'Test Cases'!$N:$N, "Fail")</f>
        <v>0</v>
      </c>
      <c r="I7">
        <f>COUNTIFS('Test Cases'!$C:$C, B7, 'Test Cases'!$N:$N, "Not Run")</f>
        <v>0</v>
      </c>
      <c r="J7" s="3">
        <f t="shared" si="0"/>
        <v>1</v>
      </c>
    </row>
    <row r="8" spans="1:10" x14ac:dyDescent="0.35">
      <c r="A8" t="s">
        <v>423</v>
      </c>
      <c r="B8" t="s">
        <v>205</v>
      </c>
      <c r="C8" t="s">
        <v>425</v>
      </c>
      <c r="D8">
        <f>COUNTIF('Test Cases'!$C:$C, B8)</f>
        <v>2</v>
      </c>
      <c r="E8">
        <f>COUNTIFS('Test Cases'!$C:$C, B8, 'Test Cases'!$H:$H, "Auto")</f>
        <v>2</v>
      </c>
      <c r="F8">
        <f>COUNTIFS('Test Cases'!$C:$C, B8, 'Test Cases'!$H:$H, "Manual")</f>
        <v>0</v>
      </c>
      <c r="G8">
        <f>COUNTIFS('Test Cases'!$C:$C, B8, 'Test Cases'!$N:$N, "Pass")</f>
        <v>2</v>
      </c>
      <c r="H8">
        <f>COUNTIFS('Test Cases'!$C:$C, B8, 'Test Cases'!$N:$N, "Fail")</f>
        <v>0</v>
      </c>
      <c r="I8">
        <f>COUNTIFS('Test Cases'!$C:$C, B8, 'Test Cases'!$N:$N, "Not Run")</f>
        <v>0</v>
      </c>
      <c r="J8" s="3">
        <f t="shared" si="0"/>
        <v>1</v>
      </c>
    </row>
    <row r="9" spans="1:10" x14ac:dyDescent="0.35">
      <c r="A9" t="s">
        <v>423</v>
      </c>
      <c r="B9" t="s">
        <v>240</v>
      </c>
      <c r="C9" t="s">
        <v>426</v>
      </c>
      <c r="D9">
        <f>COUNTIF('Test Cases'!$C:$C, B9)</f>
        <v>4</v>
      </c>
      <c r="E9">
        <f>COUNTIFS('Test Cases'!$C:$C, B9, 'Test Cases'!$H:$H, "Auto")</f>
        <v>0</v>
      </c>
      <c r="F9">
        <f>COUNTIFS('Test Cases'!$C:$C, B9, 'Test Cases'!$H:$H, "Manual")</f>
        <v>4</v>
      </c>
      <c r="G9">
        <f>COUNTIFS('Test Cases'!$C:$C, B9, 'Test Cases'!$N:$N, "Pass")</f>
        <v>0</v>
      </c>
      <c r="H9">
        <f>COUNTIFS('Test Cases'!$C:$C, B9, 'Test Cases'!$N:$N, "Fail")</f>
        <v>0</v>
      </c>
      <c r="I9">
        <f>COUNTIFS('Test Cases'!$C:$C, B9, 'Test Cases'!$N:$N, "Not Run")</f>
        <v>4</v>
      </c>
      <c r="J9" s="3">
        <f t="shared" si="0"/>
        <v>0</v>
      </c>
    </row>
    <row r="10" spans="1:10" x14ac:dyDescent="0.35">
      <c r="A10" s="4" t="s">
        <v>427</v>
      </c>
      <c r="B10" s="4" t="s">
        <v>428</v>
      </c>
      <c r="C10" s="4" t="s">
        <v>429</v>
      </c>
      <c r="D10" s="4">
        <f t="shared" ref="D10:I10" si="2">SUM(D7:D9)</f>
        <v>11</v>
      </c>
      <c r="E10" s="4">
        <f t="shared" si="2"/>
        <v>7</v>
      </c>
      <c r="F10" s="4">
        <f t="shared" si="2"/>
        <v>4</v>
      </c>
      <c r="G10" s="4">
        <f t="shared" si="2"/>
        <v>7</v>
      </c>
      <c r="H10" s="4">
        <f t="shared" si="2"/>
        <v>0</v>
      </c>
      <c r="I10" s="4">
        <f t="shared" si="2"/>
        <v>4</v>
      </c>
      <c r="J10" s="5">
        <f t="shared" si="0"/>
        <v>0.63636363636363635</v>
      </c>
    </row>
    <row r="11" spans="1:10" x14ac:dyDescent="0.35">
      <c r="A11" t="s">
        <v>226</v>
      </c>
      <c r="B11" t="s">
        <v>227</v>
      </c>
      <c r="C11" t="s">
        <v>430</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226</v>
      </c>
      <c r="B12" t="s">
        <v>277</v>
      </c>
      <c r="C12" t="s">
        <v>278</v>
      </c>
      <c r="D12">
        <f>COUNTIF('Test Cases'!$C:$C, B12)</f>
        <v>3</v>
      </c>
      <c r="E12">
        <f>COUNTIFS('Test Cases'!$C:$C, B12, 'Test Cases'!$H:$H, "Auto")</f>
        <v>0</v>
      </c>
      <c r="F12">
        <f>COUNTIFS('Test Cases'!$C:$C, B12, 'Test Cases'!$H:$H, "Manual")</f>
        <v>3</v>
      </c>
      <c r="G12">
        <f>COUNTIFS('Test Cases'!$C:$C, B12, 'Test Cases'!$N:$N, "Pass")</f>
        <v>0</v>
      </c>
      <c r="H12">
        <f>COUNTIFS('Test Cases'!$C:$C, B12, 'Test Cases'!$N:$N, "Fail")</f>
        <v>0</v>
      </c>
      <c r="I12">
        <f>COUNTIFS('Test Cases'!$C:$C, B12, 'Test Cases'!$N:$N, "Not Run")</f>
        <v>3</v>
      </c>
      <c r="J12" s="3">
        <f t="shared" si="0"/>
        <v>0</v>
      </c>
    </row>
    <row r="13" spans="1:10" x14ac:dyDescent="0.35">
      <c r="A13" t="s">
        <v>226</v>
      </c>
      <c r="B13" t="s">
        <v>301</v>
      </c>
      <c r="C13" t="s">
        <v>302</v>
      </c>
      <c r="D13">
        <f>COUNTIF('Test Cases'!$C:$C, B13)</f>
        <v>1</v>
      </c>
      <c r="E13">
        <f>COUNTIFS('Test Cases'!$C:$C, B13, 'Test Cases'!$H:$H, "Auto")</f>
        <v>0</v>
      </c>
      <c r="F13">
        <f>COUNTIFS('Test Cases'!$C:$C, B13, 'Test Cases'!$H:$H, "Manual")</f>
        <v>1</v>
      </c>
      <c r="G13">
        <f>COUNTIFS('Test Cases'!$C:$C, B13, 'Test Cases'!$N:$N, "Pass")</f>
        <v>0</v>
      </c>
      <c r="H13">
        <f>COUNTIFS('Test Cases'!$C:$C, B13, 'Test Cases'!$N:$N, "Fail")</f>
        <v>0</v>
      </c>
      <c r="I13">
        <f>COUNTIFS('Test Cases'!$C:$C, B13, 'Test Cases'!$N:$N, "Not Run")</f>
        <v>1</v>
      </c>
      <c r="J13" s="3">
        <f t="shared" si="0"/>
        <v>0</v>
      </c>
    </row>
    <row r="14" spans="1:10" x14ac:dyDescent="0.35">
      <c r="A14" s="4" t="s">
        <v>431</v>
      </c>
      <c r="B14" s="4" t="s">
        <v>432</v>
      </c>
      <c r="C14" s="4" t="s">
        <v>433</v>
      </c>
      <c r="D14" s="4">
        <f t="shared" ref="D14:I14" si="3">SUM(D11:D13)</f>
        <v>5</v>
      </c>
      <c r="E14" s="4">
        <f t="shared" si="3"/>
        <v>1</v>
      </c>
      <c r="F14" s="4">
        <f t="shared" si="3"/>
        <v>4</v>
      </c>
      <c r="G14" s="4">
        <f t="shared" si="3"/>
        <v>1</v>
      </c>
      <c r="H14" s="4">
        <f t="shared" si="3"/>
        <v>0</v>
      </c>
      <c r="I14" s="4">
        <f t="shared" si="3"/>
        <v>4</v>
      </c>
      <c r="J14" s="5">
        <f t="shared" si="0"/>
        <v>0.2</v>
      </c>
    </row>
    <row r="15" spans="1:10" x14ac:dyDescent="0.35">
      <c r="A15" s="4" t="s">
        <v>434</v>
      </c>
      <c r="B15" s="4" t="s">
        <v>435</v>
      </c>
      <c r="C15" s="4" t="s">
        <v>436</v>
      </c>
      <c r="D15" s="4">
        <f t="shared" ref="D15:I15" si="4">D6+D10+D14</f>
        <v>28</v>
      </c>
      <c r="E15" s="4">
        <f t="shared" si="4"/>
        <v>20</v>
      </c>
      <c r="F15" s="4">
        <f t="shared" si="4"/>
        <v>8</v>
      </c>
      <c r="G15" s="4">
        <f t="shared" si="4"/>
        <v>19</v>
      </c>
      <c r="H15" s="4">
        <f t="shared" si="4"/>
        <v>1</v>
      </c>
      <c r="I15" s="4">
        <f t="shared" si="4"/>
        <v>8</v>
      </c>
      <c r="J15" s="5">
        <f t="shared" si="0"/>
        <v>0.6785714285714286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workbookViewId="0"/>
  </sheetViews>
  <sheetFormatPr defaultRowHeight="14.5" x14ac:dyDescent="0.35"/>
  <sheetData>
    <row r="1" spans="1:9" x14ac:dyDescent="0.35">
      <c r="A1" t="s">
        <v>437</v>
      </c>
      <c r="B1" t="s">
        <v>438</v>
      </c>
      <c r="C1" t="s">
        <v>2</v>
      </c>
      <c r="D1" t="s">
        <v>411</v>
      </c>
      <c r="E1" t="s">
        <v>3</v>
      </c>
      <c r="F1" t="s">
        <v>0</v>
      </c>
      <c r="G1" t="s">
        <v>439</v>
      </c>
      <c r="H1" t="s">
        <v>440</v>
      </c>
      <c r="I1" t="s">
        <v>326</v>
      </c>
    </row>
    <row r="2" spans="1:9" x14ac:dyDescent="0.35">
      <c r="A2" t="s">
        <v>441</v>
      </c>
      <c r="B2" t="s">
        <v>442</v>
      </c>
      <c r="C2" t="s">
        <v>21</v>
      </c>
      <c r="D2" t="s">
        <v>416</v>
      </c>
      <c r="E2" t="s">
        <v>22</v>
      </c>
      <c r="F2" t="s">
        <v>19</v>
      </c>
      <c r="G2" t="s">
        <v>23</v>
      </c>
      <c r="H2" t="s">
        <v>26</v>
      </c>
      <c r="I2" t="s">
        <v>32</v>
      </c>
    </row>
    <row r="3" spans="1:9" x14ac:dyDescent="0.35">
      <c r="A3" t="s">
        <v>441</v>
      </c>
      <c r="B3" t="s">
        <v>442</v>
      </c>
      <c r="C3" t="s">
        <v>21</v>
      </c>
      <c r="D3" t="s">
        <v>416</v>
      </c>
      <c r="E3" t="s">
        <v>22</v>
      </c>
      <c r="F3" t="s">
        <v>37</v>
      </c>
      <c r="G3" t="s">
        <v>38</v>
      </c>
      <c r="H3" t="s">
        <v>26</v>
      </c>
      <c r="I3" t="s">
        <v>32</v>
      </c>
    </row>
    <row r="4" spans="1:9" x14ac:dyDescent="0.35">
      <c r="A4" t="s">
        <v>441</v>
      </c>
      <c r="B4" t="s">
        <v>442</v>
      </c>
      <c r="C4" t="s">
        <v>21</v>
      </c>
      <c r="D4" t="s">
        <v>416</v>
      </c>
      <c r="E4" t="s">
        <v>46</v>
      </c>
      <c r="F4" t="s">
        <v>45</v>
      </c>
      <c r="G4" t="s">
        <v>47</v>
      </c>
      <c r="H4" t="s">
        <v>26</v>
      </c>
      <c r="I4" t="s">
        <v>32</v>
      </c>
    </row>
    <row r="5" spans="1:9" x14ac:dyDescent="0.35">
      <c r="A5" t="s">
        <v>441</v>
      </c>
      <c r="B5" t="s">
        <v>442</v>
      </c>
      <c r="C5" t="s">
        <v>21</v>
      </c>
      <c r="D5" t="s">
        <v>416</v>
      </c>
      <c r="E5" t="s">
        <v>46</v>
      </c>
      <c r="F5" t="s">
        <v>54</v>
      </c>
      <c r="G5" t="s">
        <v>55</v>
      </c>
      <c r="H5" t="s">
        <v>26</v>
      </c>
      <c r="I5" t="s">
        <v>32</v>
      </c>
    </row>
    <row r="6" spans="1:9" x14ac:dyDescent="0.35">
      <c r="A6" t="s">
        <v>441</v>
      </c>
      <c r="B6" t="s">
        <v>442</v>
      </c>
      <c r="C6" t="s">
        <v>21</v>
      </c>
      <c r="D6" t="s">
        <v>416</v>
      </c>
      <c r="E6" t="s">
        <v>64</v>
      </c>
      <c r="F6" t="s">
        <v>63</v>
      </c>
      <c r="G6" t="s">
        <v>65</v>
      </c>
      <c r="H6" t="s">
        <v>26</v>
      </c>
      <c r="I6" t="s">
        <v>32</v>
      </c>
    </row>
    <row r="7" spans="1:9" x14ac:dyDescent="0.35">
      <c r="A7" t="s">
        <v>441</v>
      </c>
      <c r="B7" t="s">
        <v>442</v>
      </c>
      <c r="C7" t="s">
        <v>21</v>
      </c>
      <c r="D7" t="s">
        <v>416</v>
      </c>
      <c r="E7" t="s">
        <v>74</v>
      </c>
      <c r="F7" t="s">
        <v>73</v>
      </c>
      <c r="G7" t="s">
        <v>75</v>
      </c>
      <c r="H7" t="s">
        <v>26</v>
      </c>
      <c r="I7" t="s">
        <v>80</v>
      </c>
    </row>
    <row r="8" spans="1:9" x14ac:dyDescent="0.35">
      <c r="A8" t="s">
        <v>441</v>
      </c>
      <c r="B8" t="s">
        <v>442</v>
      </c>
      <c r="C8" t="s">
        <v>21</v>
      </c>
      <c r="D8" t="s">
        <v>416</v>
      </c>
      <c r="E8" t="s">
        <v>86</v>
      </c>
      <c r="F8" t="s">
        <v>85</v>
      </c>
      <c r="G8" t="s">
        <v>87</v>
      </c>
      <c r="H8" t="s">
        <v>26</v>
      </c>
      <c r="I8" t="s">
        <v>32</v>
      </c>
    </row>
    <row r="9" spans="1:9" x14ac:dyDescent="0.35">
      <c r="A9" t="s">
        <v>441</v>
      </c>
      <c r="B9" t="s">
        <v>442</v>
      </c>
      <c r="C9" t="s">
        <v>95</v>
      </c>
      <c r="D9" t="s">
        <v>417</v>
      </c>
      <c r="E9" t="s">
        <v>96</v>
      </c>
      <c r="F9" t="s">
        <v>94</v>
      </c>
      <c r="G9" t="s">
        <v>97</v>
      </c>
      <c r="H9" t="s">
        <v>26</v>
      </c>
      <c r="I9" t="s">
        <v>32</v>
      </c>
    </row>
    <row r="10" spans="1:9" x14ac:dyDescent="0.35">
      <c r="A10" t="s">
        <v>441</v>
      </c>
      <c r="B10" t="s">
        <v>442</v>
      </c>
      <c r="C10" t="s">
        <v>108</v>
      </c>
      <c r="D10" t="s">
        <v>418</v>
      </c>
      <c r="E10" t="s">
        <v>109</v>
      </c>
      <c r="F10" t="s">
        <v>107</v>
      </c>
      <c r="G10" t="s">
        <v>110</v>
      </c>
      <c r="H10" t="s">
        <v>26</v>
      </c>
      <c r="I10" t="s">
        <v>32</v>
      </c>
    </row>
    <row r="11" spans="1:9" x14ac:dyDescent="0.35">
      <c r="A11" t="s">
        <v>441</v>
      </c>
      <c r="B11" t="s">
        <v>442</v>
      </c>
      <c r="C11" t="s">
        <v>108</v>
      </c>
      <c r="D11" t="s">
        <v>418</v>
      </c>
      <c r="E11" t="s">
        <v>119</v>
      </c>
      <c r="F11" t="s">
        <v>118</v>
      </c>
      <c r="G11" t="s">
        <v>120</v>
      </c>
      <c r="H11" t="s">
        <v>26</v>
      </c>
      <c r="I11" t="s">
        <v>32</v>
      </c>
    </row>
    <row r="12" spans="1:9" x14ac:dyDescent="0.35">
      <c r="A12" t="s">
        <v>441</v>
      </c>
      <c r="B12" t="s">
        <v>442</v>
      </c>
      <c r="C12" t="s">
        <v>108</v>
      </c>
      <c r="D12" t="s">
        <v>418</v>
      </c>
      <c r="E12" t="s">
        <v>129</v>
      </c>
      <c r="F12" t="s">
        <v>128</v>
      </c>
      <c r="G12" t="s">
        <v>130</v>
      </c>
      <c r="H12" t="s">
        <v>26</v>
      </c>
      <c r="I12" t="s">
        <v>32</v>
      </c>
    </row>
    <row r="13" spans="1:9" x14ac:dyDescent="0.35">
      <c r="A13" t="s">
        <v>441</v>
      </c>
      <c r="B13" t="s">
        <v>442</v>
      </c>
      <c r="C13" t="s">
        <v>139</v>
      </c>
      <c r="D13" t="s">
        <v>419</v>
      </c>
      <c r="E13" t="s">
        <v>140</v>
      </c>
      <c r="F13" t="s">
        <v>138</v>
      </c>
      <c r="G13" t="s">
        <v>141</v>
      </c>
      <c r="H13" t="s">
        <v>26</v>
      </c>
      <c r="I13" t="s">
        <v>32</v>
      </c>
    </row>
    <row r="14" spans="1:9" x14ac:dyDescent="0.35">
      <c r="A14" t="s">
        <v>162</v>
      </c>
      <c r="B14" t="s">
        <v>443</v>
      </c>
      <c r="C14" t="s">
        <v>151</v>
      </c>
      <c r="D14" t="s">
        <v>424</v>
      </c>
      <c r="E14" t="s">
        <v>152</v>
      </c>
      <c r="F14" t="s">
        <v>149</v>
      </c>
      <c r="G14" t="s">
        <v>153</v>
      </c>
      <c r="H14" t="s">
        <v>26</v>
      </c>
      <c r="I14" t="s">
        <v>32</v>
      </c>
    </row>
    <row r="15" spans="1:9" x14ac:dyDescent="0.35">
      <c r="A15" t="s">
        <v>162</v>
      </c>
      <c r="B15" t="s">
        <v>443</v>
      </c>
      <c r="C15" t="s">
        <v>151</v>
      </c>
      <c r="D15" t="s">
        <v>424</v>
      </c>
      <c r="E15" t="s">
        <v>164</v>
      </c>
      <c r="F15" t="s">
        <v>163</v>
      </c>
      <c r="G15" t="s">
        <v>165</v>
      </c>
      <c r="H15" t="s">
        <v>26</v>
      </c>
      <c r="I15" t="s">
        <v>32</v>
      </c>
    </row>
    <row r="16" spans="1:9" x14ac:dyDescent="0.35">
      <c r="A16" t="s">
        <v>162</v>
      </c>
      <c r="B16" t="s">
        <v>443</v>
      </c>
      <c r="C16" t="s">
        <v>151</v>
      </c>
      <c r="D16" t="s">
        <v>424</v>
      </c>
      <c r="E16" t="s">
        <v>174</v>
      </c>
      <c r="F16" t="s">
        <v>173</v>
      </c>
      <c r="G16" t="s">
        <v>175</v>
      </c>
      <c r="H16" t="s">
        <v>26</v>
      </c>
      <c r="I16" t="s">
        <v>32</v>
      </c>
    </row>
    <row r="17" spans="1:9" x14ac:dyDescent="0.35">
      <c r="A17" t="s">
        <v>162</v>
      </c>
      <c r="B17" t="s">
        <v>443</v>
      </c>
      <c r="C17" t="s">
        <v>151</v>
      </c>
      <c r="D17" t="s">
        <v>424</v>
      </c>
      <c r="E17" t="s">
        <v>184</v>
      </c>
      <c r="F17" t="s">
        <v>183</v>
      </c>
      <c r="G17" t="s">
        <v>185</v>
      </c>
      <c r="H17" t="s">
        <v>26</v>
      </c>
      <c r="I17" t="s">
        <v>32</v>
      </c>
    </row>
    <row r="18" spans="1:9" x14ac:dyDescent="0.35">
      <c r="A18" t="s">
        <v>162</v>
      </c>
      <c r="B18" t="s">
        <v>443</v>
      </c>
      <c r="C18" t="s">
        <v>151</v>
      </c>
      <c r="D18" t="s">
        <v>424</v>
      </c>
      <c r="E18" t="s">
        <v>195</v>
      </c>
      <c r="F18" t="s">
        <v>194</v>
      </c>
      <c r="G18" t="s">
        <v>196</v>
      </c>
      <c r="H18" t="s">
        <v>26</v>
      </c>
      <c r="I18" t="s">
        <v>32</v>
      </c>
    </row>
    <row r="19" spans="1:9" x14ac:dyDescent="0.35">
      <c r="A19" t="s">
        <v>162</v>
      </c>
      <c r="B19" t="s">
        <v>443</v>
      </c>
      <c r="C19" t="s">
        <v>205</v>
      </c>
      <c r="D19" t="s">
        <v>425</v>
      </c>
      <c r="E19" t="s">
        <v>206</v>
      </c>
      <c r="F19" t="s">
        <v>204</v>
      </c>
      <c r="G19" t="s">
        <v>207</v>
      </c>
      <c r="H19" t="s">
        <v>26</v>
      </c>
      <c r="I19" t="s">
        <v>32</v>
      </c>
    </row>
    <row r="20" spans="1:9" x14ac:dyDescent="0.35">
      <c r="A20" t="s">
        <v>162</v>
      </c>
      <c r="B20" t="s">
        <v>443</v>
      </c>
      <c r="C20" t="s">
        <v>205</v>
      </c>
      <c r="D20" t="s">
        <v>425</v>
      </c>
      <c r="E20" t="s">
        <v>217</v>
      </c>
      <c r="F20" t="s">
        <v>215</v>
      </c>
      <c r="G20" t="s">
        <v>218</v>
      </c>
      <c r="H20" t="s">
        <v>26</v>
      </c>
      <c r="I20" t="s">
        <v>32</v>
      </c>
    </row>
    <row r="21" spans="1:9" x14ac:dyDescent="0.35">
      <c r="A21" t="s">
        <v>444</v>
      </c>
      <c r="B21" t="s">
        <v>445</v>
      </c>
      <c r="C21" t="s">
        <v>227</v>
      </c>
      <c r="D21" t="s">
        <v>430</v>
      </c>
      <c r="E21" t="s">
        <v>228</v>
      </c>
      <c r="F21" t="s">
        <v>225</v>
      </c>
      <c r="G21" t="s">
        <v>229</v>
      </c>
      <c r="H21" t="s">
        <v>26</v>
      </c>
      <c r="I21" t="s">
        <v>32</v>
      </c>
    </row>
    <row r="22" spans="1:9" x14ac:dyDescent="0.35">
      <c r="A22" t="s">
        <v>162</v>
      </c>
      <c r="B22" t="s">
        <v>443</v>
      </c>
      <c r="C22" t="s">
        <v>240</v>
      </c>
      <c r="D22" t="s">
        <v>426</v>
      </c>
      <c r="E22" t="s">
        <v>241</v>
      </c>
      <c r="F22" t="s">
        <v>239</v>
      </c>
      <c r="G22" t="s">
        <v>242</v>
      </c>
      <c r="H22" t="s">
        <v>244</v>
      </c>
      <c r="I22" t="s">
        <v>249</v>
      </c>
    </row>
    <row r="23" spans="1:9" x14ac:dyDescent="0.35">
      <c r="A23" t="s">
        <v>162</v>
      </c>
      <c r="B23" t="s">
        <v>443</v>
      </c>
      <c r="C23" t="s">
        <v>240</v>
      </c>
      <c r="D23" t="s">
        <v>426</v>
      </c>
      <c r="E23" t="s">
        <v>253</v>
      </c>
      <c r="F23" t="s">
        <v>252</v>
      </c>
      <c r="G23" t="s">
        <v>254</v>
      </c>
      <c r="H23" t="s">
        <v>244</v>
      </c>
      <c r="I23" t="s">
        <v>249</v>
      </c>
    </row>
    <row r="24" spans="1:9" x14ac:dyDescent="0.35">
      <c r="A24" t="s">
        <v>162</v>
      </c>
      <c r="B24" t="s">
        <v>443</v>
      </c>
      <c r="C24" t="s">
        <v>240</v>
      </c>
      <c r="D24" t="s">
        <v>426</v>
      </c>
      <c r="E24" t="s">
        <v>261</v>
      </c>
      <c r="F24" t="s">
        <v>260</v>
      </c>
      <c r="G24" t="s">
        <v>262</v>
      </c>
      <c r="H24" t="s">
        <v>244</v>
      </c>
      <c r="I24" t="s">
        <v>249</v>
      </c>
    </row>
    <row r="25" spans="1:9" x14ac:dyDescent="0.35">
      <c r="A25" t="s">
        <v>162</v>
      </c>
      <c r="B25" t="s">
        <v>443</v>
      </c>
      <c r="C25" t="s">
        <v>240</v>
      </c>
      <c r="D25" t="s">
        <v>426</v>
      </c>
      <c r="E25" t="s">
        <v>269</v>
      </c>
      <c r="F25" t="s">
        <v>268</v>
      </c>
      <c r="G25" t="s">
        <v>270</v>
      </c>
      <c r="H25" t="s">
        <v>244</v>
      </c>
      <c r="I25" t="s">
        <v>249</v>
      </c>
    </row>
    <row r="26" spans="1:9" x14ac:dyDescent="0.35">
      <c r="A26" t="s">
        <v>444</v>
      </c>
      <c r="B26" t="s">
        <v>445</v>
      </c>
      <c r="C26" t="s">
        <v>277</v>
      </c>
      <c r="D26" t="s">
        <v>278</v>
      </c>
      <c r="E26" t="s">
        <v>278</v>
      </c>
      <c r="F26" t="s">
        <v>276</v>
      </c>
      <c r="G26" t="s">
        <v>279</v>
      </c>
      <c r="H26" t="s">
        <v>244</v>
      </c>
      <c r="I26" t="s">
        <v>249</v>
      </c>
    </row>
    <row r="27" spans="1:9" x14ac:dyDescent="0.35">
      <c r="A27" t="s">
        <v>444</v>
      </c>
      <c r="B27" t="s">
        <v>445</v>
      </c>
      <c r="C27" t="s">
        <v>277</v>
      </c>
      <c r="D27" t="s">
        <v>278</v>
      </c>
      <c r="E27" t="s">
        <v>278</v>
      </c>
      <c r="F27" t="s">
        <v>285</v>
      </c>
      <c r="G27" t="s">
        <v>286</v>
      </c>
      <c r="H27" t="s">
        <v>244</v>
      </c>
      <c r="I27" t="s">
        <v>249</v>
      </c>
    </row>
    <row r="28" spans="1:9" x14ac:dyDescent="0.35">
      <c r="A28" t="s">
        <v>444</v>
      </c>
      <c r="B28" t="s">
        <v>445</v>
      </c>
      <c r="C28" t="s">
        <v>277</v>
      </c>
      <c r="D28" t="s">
        <v>278</v>
      </c>
      <c r="E28" t="s">
        <v>293</v>
      </c>
      <c r="F28" t="s">
        <v>292</v>
      </c>
      <c r="G28" t="s">
        <v>294</v>
      </c>
      <c r="H28" t="s">
        <v>244</v>
      </c>
      <c r="I28" t="s">
        <v>249</v>
      </c>
    </row>
    <row r="29" spans="1:9" x14ac:dyDescent="0.35">
      <c r="A29" t="s">
        <v>444</v>
      </c>
      <c r="B29" t="s">
        <v>445</v>
      </c>
      <c r="C29" t="s">
        <v>301</v>
      </c>
      <c r="D29" t="s">
        <v>302</v>
      </c>
      <c r="E29" t="s">
        <v>302</v>
      </c>
      <c r="F29" t="s">
        <v>300</v>
      </c>
      <c r="G29" t="s">
        <v>303</v>
      </c>
      <c r="H29" t="s">
        <v>244</v>
      </c>
      <c r="I29" t="s">
        <v>249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2273201081640 - NGÔ NGỌC THỦY - 71K28QHCC24</cp:lastModifiedBy>
  <dcterms:created xsi:type="dcterms:W3CDTF">2026-09-24T10:29:59Z</dcterms:created>
  <dcterms:modified xsi:type="dcterms:W3CDTF">2026-10-05T09:49:30Z</dcterms:modified>
</cp:coreProperties>
</file>