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sheet.main+xml" PartName="/xl/workbook.xml"/>
  <Override ContentType="application/vnd.openxmlformats-officedocument.custom-properties+xml" PartName="/docProps/custom.xml"/>
  <Override ContentType="text/plain" PartName="/EPPlusLicense.txt"/>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fileVersion appName="xl" lastEdited="7" lowestEdited="7"/>
  <workbookPr/>
  <bookViews>
    <workbookView visibility="visible" minimized="0" showHorizontalScroll="1" showVerticalScroll="1" showSheetTabs="1" xWindow="2090" yWindow="1060" windowWidth="14400" windowHeight="7360"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calcPr calcId="191029" fullCalcOnLoad="1" fullPrecision="1"/>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<sst xmlns="http://schemas.openxmlformats.org/spreadsheetml/2006/main" count="490" uniqueCount="490">
  <si>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</si>
  <si>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</si>
  <si>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</si>
  <si>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</si>
  <si>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</si>
  <si>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</si>
  <si>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</si>
  <si>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</si>
  <si>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</si>
  <si>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</si>
  <si>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</si>
  <si>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</si>
  <si>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</si>
  <si>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</si>
  <si>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</si>
  <si>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</si>
  <si>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</si>
  <si>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</si>
  <si>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</si>
  <si>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TC_CRM_005</t>
  </si>
  <si>
    <t>CRM</t>
  </si>
  <si>
    <t>F-CRM-01</t>
  </si>
  <si>
    <t>Tao khach hang -- kiem tra bien ten (BVA)</t>
  </si>
  <si>
    <t>Tao khach hang voi ten dung 128 ky tu (gioi han toi da)</t>
  </si>
  <si>
    <t>BVA</t>
  </si>
  <si>
    <t>P1</t>
  </si>
  <si>
    <t>Auto</t>
  </si>
  <si>
    <t>Da dang nhap admin; trang Tao khach hang moi dang mo</t>
  </si>
  <si>
    <t xml:space="preserve">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</si>
  <si>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</si>
  <si>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</si>
  <si>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</si>
  <si>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</si>
  <si>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2026-10-03</t>
  </si>
  <si>
    <t>evidence/automation/TC_CRM_005.png</t>
  </si>
  <si>
    <t>N = 128 (varchar(128) trong llx_societe.sql, maxlength=128 trong card.php).</t>
  </si>
  <si>
    <t>AI goi y-da chinh</t>
  </si>
  <si>
    <t>TC_CRM_006</t>
  </si>
  <si>
    <t>Nhap ten 129 ky tu vao o Ten khach hang (gioi han UI maxlength=128)</t>
  </si>
  <si>
    <t xml:space="preserve">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</si>
  <si>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</si>
  <si>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</si>
  <si>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</si>
  <si>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t>
  </si>
  <si>
    <t>Pass chỉ xác nhận phía browser cắt còn 128 ký tự (maxlength). Chưa kiểm tra server khi nhận 129 ký tự qua bypass JS — ngoài phạm vi vòng này.</t>
  </si>
  <si>
    <t>TC_CRM_007</t>
  </si>
  <si>
    <t>Tao khach hang -- kiem tra bien ten (BVA / EP)</t>
  </si>
  <si>
    <t>Tao khach hang voi ten de trong (khong nhap)</t>
  </si>
  <si>
    <t>BVA/EP</t>
  </si>
  <si>
    <t xml:space="preserve">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</si>
  <si>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</si>
  <si>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</si>
  <si>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t>
  </si>
  <si>
    <t>Bien duoi EP ten: rong. Kiem tra validation bat buoc phia server.</t>
  </si>
  <si>
    <t>TC_CRM_008</t>
  </si>
  <si>
    <t>Tao khach hang voi ten dung 1 ky tu</t>
  </si>
  <si>
    <t>P2</t>
  </si>
  <si>
    <t xml:space="preserve">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</si>
  <si>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</si>
  <si>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</si>
  <si>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</si>
  <si>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t>
  </si>
  <si>
    <t>Bien duoi BVA: 1 ky tu (minimum valid).</t>
  </si>
  <si>
    <t>TC_CRM_009</t>
  </si>
  <si>
    <t>Tao khach hang -- kiem tra bien ten (EP)</t>
  </si>
  <si>
    <t>Tao khach hang voi ten chi gom khoang trang</t>
  </si>
  <si>
    <t>EP</t>
  </si>
  <si>
    <t xml:space="preserve">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</si>
  <si>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</si>
  <si>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</si>
  <si>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</si>
  <si>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t>
  </si>
  <si>
    <t>EP ngoài biên: khoảng trắng thuần túy. Expected theo quan sát trong kiểm thử ngày 2026-10-03, chờ giảng viên xác nhận (chưa phải spec chính thức).</t>
  </si>
  <si>
    <t>TC_CRM_010</t>
  </si>
  <si>
    <t>Tao khach hang -- ky tu dac biet / an toan du lieu</t>
  </si>
  <si>
    <t>Tao khach hang voi ten chua ky tu dac biet va the HTML</t>
  </si>
  <si>
    <t xml:space="preserve">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</si>
  <si>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</si>
  <si>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</si>
  <si>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</si>
  <si>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</si>
  <si>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2026-10-05</t>
  </si>
  <si>
    <t>evidence/automation/TC_CRM_010_fail_bug001.png</t>
  </si>
  <si>
    <t>BUG_001</t>
  </si>
  <si>
    <t>Test tự động phát hiện BUG_001 (URL chuyển hướng chứa placeholder id=__ID__). Mục tiêu XSS đạt, phần dấu " chưa assert trong code và chờ giảng viên xác nhận spec.</t>
  </si>
  <si>
    <t>TC_CRM_011</t>
  </si>
  <si>
    <t>Tao khach hang -- ky tu Unicode / tieng Viet co dau</t>
  </si>
  <si>
    <t>Tao khach hang voi ten tieng Viet co dau du 128 ky tu</t>
  </si>
  <si>
    <t xml:space="preserve">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</si>
  <si>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</si>
  <si>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</si>
  <si>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</si>
  <si>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t>
  </si>
  <si>
    <t>Test data: 128 ky tu Unicode co dau (len=128). Kiem tra encoding UTF-8.</t>
  </si>
  <si>
    <t>TC_CRM_012</t>
  </si>
  <si>
    <t>F-CRM-02</t>
  </si>
  <si>
    <t>Cap nhat thong tin khach hang -- Sua ten</t>
  </si>
  <si>
    <t>Sua ten khach hang thanh ten moi va luu</t>
  </si>
  <si>
    <t>Use Case</t>
  </si>
  <si>
    <t>Da dang nhap admin; da co khach hang trong he thong</t>
  </si>
  <si>
    <t xml:space="preserve">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</si>
  <si>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</si>
  <si>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</si>
  <si>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</si>
  <si>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t>
  </si>
  <si>
    <t>Tai su dung CustomerDetailPage (ClickEdit, EnterName, ClickSave, GetDisplayedName).</t>
  </si>
  <si>
    <t>Automation Suite</t>
  </si>
  <si>
    <t>TC_CRM_013</t>
  </si>
  <si>
    <t>F-CRM-03</t>
  </si>
  <si>
    <t>Tim kiem khach hang -- Ten day du</t>
  </si>
  <si>
    <t>Tim kiem khach hang theo ten chinh xac day du</t>
  </si>
  <si>
    <t>Da dang nhap admin; da co khach hang can tim</t>
  </si>
  <si>
    <t xml:space="preserve">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</si>
  <si>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</si>
  <si>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</si>
  <si>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</si>
  <si>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t>
  </si>
  <si>
    <t>CustomerListPage.SearchByName va GetResultNames.</t>
  </si>
  <si>
    <t>TC_CRM_014</t>
  </si>
  <si>
    <t>Tim kiem khach hang -- Mot phan ten</t>
  </si>
  <si>
    <t>Tim kiem khach hang theo mot phan chuoi ten (keyword/partial match)</t>
  </si>
  <si>
    <t>Da dang nhap admin; da co khach hang voi ten chua tu khoa</t>
  </si>
  <si>
    <t xml:space="preserve">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</si>
  <si>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</si>
  <si>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</si>
  <si>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</si>
  <si>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t>
  </si>
  <si>
    <t>Tim kiem theo substring trong Dolibarr list.</t>
  </si>
  <si>
    <t>TC_CRM_015</t>
  </si>
  <si>
    <t>Tim kiem khach hang -- Ten khong ton tai</t>
  </si>
  <si>
    <t>Tim kiem khach hang voi ten khong ton tai trong he thong</t>
  </si>
  <si>
    <t>Da dang nhap admin; trang danh sach khach hang dang mo</t>
  </si>
  <si>
    <t xml:space="preserve">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</si>
  <si>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</si>
  <si>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</si>
  <si>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</si>
  <si>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t>
  </si>
  <si>
    <t>Xu ly locator phan biet dong du lieu tr.oddeven va thong bao span.opacitymedium.</t>
  </si>
  <si>
    <t>TC_CRM_016</t>
  </si>
  <si>
    <t>F-CRM-04</t>
  </si>
  <si>
    <t>Xoa khach hang -- Luong chuan</t>
  </si>
  <si>
    <t>Xoa khach hang khoi he thong va xac minh khong con ton tai</t>
  </si>
  <si>
    <t>Da dang nhap admin; da co khach hang can xoa</t>
  </si>
  <si>
    <t xml:space="preserve">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</si>
  <si>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</si>
  <si>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</si>
  <si>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</si>
  <si>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t>
  </si>
  <si>
    <t>Xu ly nut Yes trong jQuery UI dialog buttonset, co co che don dep an toan bao ve du lieu nen.</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</si>
  <si>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</si>
  <si>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</si>
  <si>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</si>
  <si>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</si>
  <si>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</si>
  <si>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</si>
  <si>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</si>
  <si>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 xml:space="preserve">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</si>
  <si>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</si>
  <si>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</si>
  <si>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</si>
  <si>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evidence/automation/sales/TC_SAL_001_CreateDraftProposal_ShouldSucceed_2026-10-05_08-32-58.png; docs/test_run_sales_20261005.log</t>
  </si>
  <si>
    <t>Mã tham chiếu PR... tự sinh, không hard-code</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</si>
  <si>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</si>
  <si>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</si>
  <si>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</si>
  <si>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</si>
  <si>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</si>
  <si>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 xml:space="preserve">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</si>
  <si>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</si>
  <si>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</si>
  <si>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</si>
  <si>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evidence/automation/sales/TC_SAL_002_AddProductLine_ShouldCalculateCorrectTotal_2026-10-05_08-33-08.png; docs/test_run_sales_20261005.log</t>
  </si>
  <si>
    <t>Assert khớp số học cả 3 giá trị Total HT, VAT, Total TTC</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</si>
  <si>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</si>
  <si>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</si>
  <si>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</si>
  <si>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</si>
  <si>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 xml:space="preserve">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</si>
  <si>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</si>
  <si>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</si>
  <si>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</si>
  <si>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evidence/automation/sales/TC_SAL_003_AddMultipleProducts_ShouldCalculateCumulativeTotal_2026-10-05_08-33-20.png; docs/test_run_sales_20261005.log</t>
  </si>
  <si>
    <t>Kiểm tra tính toán cộng dồn nhiều dòng</t>
  </si>
  <si>
    <t>TC_SAL_004</t>
  </si>
  <si>
    <t>Duyệt báo giá thương mại</t>
  </si>
  <si>
    <t>Xác thực báo giá nháp chuyển sang trạng thái Validated (Open)</t>
  </si>
  <si>
    <t>State Transition</t>
  </si>
  <si>
    <t>Báo giá nháp đã có sản phẩm đang ở trạng thái Draft</t>
  </si>
  <si>
    <t xml:space="preserve">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</si>
  <si>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</si>
  <si>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</si>
  <si>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</si>
  <si>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evidence/automation/sales/TC_SAL_004_ValidateProposal_ShouldChangeStatusToOpen_2026-10-05_08-33-35.png; docs/test_run_sales_20261005.log</t>
  </si>
  <si>
    <t>Kiểm tra chuyển đổi trạng thái chứng từ</t>
  </si>
  <si>
    <t>TC_SAL_005</t>
  </si>
  <si>
    <t>Ký duyệt báo giá thương mại</t>
  </si>
  <si>
    <t>Đóng báo giá với trạng thái Chấp thuận/Đã ký (Signed)</t>
  </si>
  <si>
    <t>Báo giá đang ở trạng thái Open (Validated)</t>
  </si>
  <si>
    <t xml:space="preserve">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</si>
  <si>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</si>
  <si>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</si>
  <si>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</si>
  <si>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evidence/automation/sales/TC_SAL_005_CloseProposalAsSigned_ShouldUpdateStatus_2026-10-05_08-33-58.png; docs/test_run_sales_20261005.log</t>
  </si>
  <si>
    <t>Chỉ báo giá Signed mới được sinh hóa đơn tự động</t>
  </si>
  <si>
    <t>TC_SAL_006</t>
  </si>
  <si>
    <t>F-SAL-02</t>
  </si>
  <si>
    <t>Chuyển báo giá thành hóa đơn bán hàng</t>
  </si>
  <si>
    <t>Tạo hóa đơn bán hàng trực tiếp từ báo giá đã ký</t>
  </si>
  <si>
    <t>Báo giá đang ở trạng thái Signed</t>
  </si>
  <si>
    <t xml:space="preserve">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</si>
  <si>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</si>
  <si>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</si>
  <si>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</si>
  <si>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evidence/automation/sales/TC_SAL_006_CreateInvoiceFromSignedProposal_ShouldInheritTotal_2026-10-05_08-34-23.png; docs/test_run_sales_20261005.log</t>
  </si>
  <si>
    <t>Kế thừa dữ liệu liên thông phân hệ</t>
  </si>
  <si>
    <t>TC_SAL_007</t>
  </si>
  <si>
    <t>Invoicing</t>
  </si>
  <si>
    <t>Xác thực hóa đơn bán hàng</t>
  </si>
  <si>
    <t>Xác thực hóa đơn chuyển sang trạng thái Unpaid và cấp mã chính thức</t>
  </si>
  <si>
    <t>Hóa đơn nháp vừa tạo ở TC_SAL_006 đang mở</t>
  </si>
  <si>
    <t xml:space="preserve">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</si>
  <si>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</si>
  <si>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</si>
  <si>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evidence/automation/sales/TC_SAL_007_ValidateInvoice_ShouldChangeStatusToUnpaid_2026-10-05_08-34-54.png; docs/test_run_sales_20261005.log</t>
  </si>
  <si>
    <t>Mã hóa đơn chính thức IN... đọc từ giao diện</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</si>
  <si>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</si>
  <si>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</si>
  <si>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</si>
  <si>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</si>
  <si>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</si>
  <si>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</si>
  <si>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</si>
  <si>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 xml:space="preserve">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</si>
  <si>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</si>
  <si>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</si>
  <si>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</si>
  <si>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evidence/automation/sales/TC_SAL_008_ValidateInvoice_ShouldDecreaseProductStock_2026-10-05_08-35-26.png; docs/test_run_sales_20261005.log</t>
  </si>
  <si>
    <t>Kiểm tra quy tắc Decrease real stocks on validation of customer invoice</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</si>
  <si>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</si>
  <si>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</si>
  <si>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</si>
  <si>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</si>
  <si>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</si>
  <si>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</si>
  <si>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</si>
  <si>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</si>
  <si>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 xml:space="preserve">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</si>
  <si>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</si>
  <si>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</si>
  <si>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Hóa đơn chuyển sang trạng thái Abandoned. Nút thanh toán bị vô hiệu hóa.</t>
  </si>
  <si>
    <t>evidence/manual/TC_SAL_009_invoice_canceled.png</t>
  </si>
  <si>
    <t>Kiểm tra luồng hủy hóa đơn chưa thanh toán.</t>
  </si>
  <si>
    <t>Tự thiết kế</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</si>
  <si>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</si>
  <si>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</si>
  <si>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</si>
  <si>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</si>
  <si>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 xml:space="preserve">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</si>
  <si>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</si>
  <si>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</si>
  <si>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Hóa đơn hoàn tiền IC2610-0003 tạo thành công từ hóa đơn gốc và đã xác thực.</t>
  </si>
  <si>
    <t>evidence/manual/TC_SAL_010_credit_note_validated.png</t>
  </si>
  <si>
    <t>Kiểm tra quy trình tạo Credit note hoàn trả tiền/hàng trong Dolibarr.</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</si>
  <si>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</si>
  <si>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</si>
  <si>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</si>
  <si>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</si>
  <si>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 xml:space="preserve">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</si>
  <si>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</si>
  <si>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</si>
  <si>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Thanh toán đợt 1 thành công (50,000.00 €). Trạng thái hóa đơn chuyển thành Started, hiển thị dư nợ còn lại.</t>
  </si>
  <si>
    <t>evidence/manual/TC_SAL_011_partial_payment_started.png</t>
  </si>
  <si>
    <t>Kiểm tra tính toán số dư công nợ giảm trừ chính xác khi thanh toán từng đợt.</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</si>
  <si>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</si>
  <si>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</si>
  <si>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</si>
  <si>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</si>
  <si>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 xml:space="preserve">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</si>
  <si>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</si>
  <si>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</si>
  <si>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Thanh toán hoàn tất toàn bộ nợ. Hóa đơn chuyển trạng thái Paid, công nợ về 0.</t>
  </si>
  <si>
    <t>evidence/manual/TC_SAL_012_full_payment_paid.png</t>
  </si>
  <si>
    <t>Kiểm tra hoàn tất thanh toán chuyển trạng thái sang Paid.</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</si>
  <si>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</si>
  <si>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</si>
  <si>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</si>
  <si>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</si>
  <si>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</si>
  <si>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 xml:space="preserve">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</si>
  <si>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</si>
  <si>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</si>
  <si>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Tồn kho PR002 tăng 10 đơn vị (55 -&gt; 65). Ghi nhận biến động +10 thành công.</t>
  </si>
  <si>
    <t>evidence/manual/TC_STK_001_stock_increase.png</t>
  </si>
  <si>
    <t>Kiểm tra luồng nhập kho kiểm kê thủ công.</t>
  </si>
  <si>
    <t>TC_STK_002</t>
  </si>
  <si>
    <t>Điều chỉnh giảm tồn kho thủ công (Stock Decrease Correction) do hàng hỏng</t>
  </si>
  <si>
    <t>Sản phẩm PR002 đang có tồn khả dụng &gt;= 5 đơn vị tại kho KHO001.</t>
  </si>
  <si>
    <t xml:space="preserve">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</si>
  <si>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</si>
  <si>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</si>
  <si>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Tồn kho PR002 giảm 5 đơn vị (60 -&gt; 55). Ghi nhận biến động -5 thành công.</t>
  </si>
  <si>
    <t>evidence/manual/TC_STK_002_stock_decrease.png</t>
  </si>
  <si>
    <t>Kiểm tra luồng xuất kho hao hụt kiểm kê.</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</si>
  <si>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</si>
  <si>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</si>
  <si>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</si>
  <si>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</si>
  <si>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 xml:space="preserve">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</si>
  <si>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</si>
  <si>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</si>
  <si>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hoàn tất. Tồn sau xuất: 89. Hệ thống xử lý theo rule cấu hình tồn âm của Dolibarr 22.0.4.</t>
  </si>
  <si>
    <t>evidence/manual/TC_STK_003_negative_stock.png</t>
  </si>
  <si>
    <t>Khảo sát hành vi rule tồn kho âm của Dolibarr 22.0.4.</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</si>
  <si>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</si>
  <si>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</si>
  <si>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</si>
  <si>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</si>
  <si>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</si>
  <si>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 xml:space="preserve">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</si>
  <si>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</si>
  <si>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</si>
  <si>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Kiểm thử BVA hoàn tất theo rule Dolibarr (Stock &lt; Limit): Biên 10 (=ngưỡng) không cảnh báo (UI &amp; DB=10). Biên 9 (&lt;ngưỡng) kích hoạt cảnh báo 'Stock lower than alert limit (10)' và dòng Replenish (Limit=10, Stock=9, DB=9).</t>
  </si>
  <si>
    <t>2026-10-06</t>
  </si>
  <si>
    <t>evidence/manual/TC_STK_004_limit_alert.png</t>
  </si>
  <si>
    <t>Kiểm tra cơ chế cảnh báo tự động khi chạm ngưỡng tồn kho tối thiểu.</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</si>
  <si>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</si>
  <si>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</si>
  <si>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</si>
  <si>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</si>
  <si>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</si>
  <si>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</si>
  <si>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</si>
  <si>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</si>
  <si>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</si>
  <si>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</si>
  <si>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</si>
  <si>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</si>
  <si>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</si>
  <si>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</si>
  <si>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</si>
  <si>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</si>
  <si>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</si>
  <si>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</si>
  <si>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</si>
  <si>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</si>
  <si>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</si>
  <si>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</si>
  <si>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</si>
  <si>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 xml:space="preserve">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</si>
  <si>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</si>
  <si>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</si>
  <si>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</si>
  <si>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</si>
  <si>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</si>
  <si>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</si>
  <si>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</si>
  <si>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</si>
  <si>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</si>
  <si>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</si>
  <si>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</si>
  <si>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</si>
  <si>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</si>
  <si>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</si>
  <si>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</si>
  <si>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</si>
  <si>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</si>
  <si>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</si>
  <si>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</si>
  <si>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</si>
  <si>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</si>
  <si>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</si>
  <si>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</si>
  <si>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</si>
  <si>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</si>
  <si>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</si>
  <si>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</si>
  <si>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</si>
  <si>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</si>
  <si>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</si>
  <si>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</si>
  <si>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</si>
  <si>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</si>
  <si>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</si>
  <si>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</si>
  <si>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</si>
  <si>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</si>
  <si>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</si>
  <si>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</si>
  <si>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</si>
  <si>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</si>
  <si>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</si>
  <si>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</si>
  <si>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</si>
  <si>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</si>
  <si>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</si>
  <si>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</si>
  <si>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</si>
  <si>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</si>
  <si>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</si>
  <si>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</si>
  <si>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</si>
  <si>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</si>
  <si>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</si>
  <si>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</si>
  <si>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</si>
  <si>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</si>
  <si>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</si>
  <si>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</si>
  <si>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</si>
  <si>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</si>
  <si>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</si>
  <si>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</si>
  <si>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</si>
  <si>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</si>
  <si>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</si>
  <si>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</si>
  <si>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</si>
  <si>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</si>
  <si>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</si>
  <si>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</si>
  <si>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</si>
  <si>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</si>
  <si>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</si>
  <si>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</si>
  <si>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</si>
  <si>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</si>
  <si>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</si>
  <si>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</si>
  <si>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</si>
  <si>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</si>
  <si>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</si>
  <si>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</si>
  <si>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</si>
  <si>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</si>
  <si>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</si>
  <si>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</si>
  <si>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</si>
  <si>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</si>
  <si>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</si>
  <si>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</si>
  <si>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</si>
  <si>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</si>
  <si>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</si>
  <si>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</si>
  <si>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</si>
  <si>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</si>
  <si>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</si>
  <si>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</si>
  <si>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</si>
  <si>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</si>
  <si>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</si>
  <si>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</si>
  <si>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</si>
  <si>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</si>
  <si>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Tên chức năng</t>
  </si>
  <si>
    <t>Tổng số TC</t>
  </si>
  <si>
    <t>Passed</t>
  </si>
  <si>
    <t>Failed</t>
  </si>
  <si>
    <t>Not Run</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</si>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</sst>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applyFont="1" fillId="2" applyFill="1" borderId="1" applyBorder="1" xfId="0" applyAlignment="1">
      <alignment horizontal="center" vertical="top"/>
    </xf>
    <xf numFmtId="0" fontId="0" fillId="0" borderId="1" applyBorder="1" xfId="0" applyAlignment="1">
      <alignment vertical="top" wrapText="1"/>
    </xf>
    <xf numFmtId="164" applyNumberFormat="1" fontId="0" fillId="0" borderId="0" xfId="0"/>
    <xf numFmtId="0" fontId="2" applyFont="1" fillId="0" borderId="0" xfId="0"/>
    <xf numFmtId="164" applyNumberFormat="1" fontId="2" applyFont="1" fillId="0" borderId="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Relationships xmlns="http://schemas.openxmlformats.org/package/2006/relationships"><Relationship Id="rId1" Type="http://schemas.openxmlformats.org/officeDocument/2006/relationships/worksheet" Target="/xl/worksheets/sheet1.xml"/><Relationship Id="rId2" Type="http://schemas.openxmlformats.org/officeDocument/2006/relationships/worksheet" Target="/xl/worksheets/sheet2.xml"/><Relationship Id="rId3" Type="http://schemas.openxmlformats.org/officeDocument/2006/relationships/worksheet" Target="/xl/worksheets/sheet3.xml"/><Relationship Id="rId4" Type="http://schemas.openxmlformats.org/officeDocument/2006/relationships/worksheet" Target="/xl/worksheets/sheet4.xml"/><Relationship Id="rId5" Type="http://schemas.openxmlformats.org/officeDocument/2006/relationships/worksheet" Target="/xl/worksheets/sheet5.xml"/><Relationship Id="rId6" Type="http://schemas.openxmlformats.org/officeDocument/2006/relationships/worksheet" Target="/xl/worksheets/sheet6.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mc="http://schemas.openxmlformats.org/markup-compatibility/2006" xmlns:xr="http://schemas.microsoft.com/office/spreadsheetml/2014/revision" mc:Ignorable="xr ">
  <sheetPr>
    <outlinePr summaryBelow="1" summaryRight="1"/>
    <pageSetUpPr/>
  </sheetPr>
  <dimension ref="A1:S29"/>
  <sheetViews>
    <sheetView tabSelected="1" workbookViewId="0">
      <selection activeCell="A1" sqref="A1"/>
    </sheetView>
  </sheetViews>
  <sheetFormatPr baseColWidth="8" defaultRowHeight="14.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ht="28"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ht="80" customHeight="1">
      <c r="A2" s="2" t="s">
        <v>19</v>
      </c>
      <c r="B2" s="2" t="s">
        <v>20</v>
      </c>
      <c r="C2" s="2" t="s">
        <v>21</v>
      </c>
      <c r="D2" s="2" t="s">
        <v>22</v>
      </c>
      <c r="E2" s="2" t="s">
        <v>23</v>
      </c>
      <c r="F2" s="2" t="s">
        <v>24</v>
      </c>
      <c r="G2" s="2" t="s">
        <v>25</v>
      </c>
      <c r="H2" s="2" t="s">
        <v>26</v>
      </c>
      <c r="I2" s="2" t="s">
        <v>27</v>
      </c>
      <c r="J2" s="2" t="s">
        <v>28</v>
      </c>
      <c r="K2" s="2" t="s">
        <v>29</v>
      </c>
      <c r="L2" s="2" t="s">
        <v>30</v>
      </c>
      <c r="M2" s="2" t="s">
        <v>31</v>
      </c>
      <c r="N2" s="2" t="s">
        <v>32</v>
      </c>
      <c r="O2" s="2" t="s">
        <v>33</v>
      </c>
      <c r="P2" s="2" t="s">
        <v>34</v>
      </c>
      <c r="Q2" s="2"/>
      <c r="R2" s="2" t="s">
        <v>35</v>
      </c>
      <c r="S2" s="2" t="s">
        <v>36</v>
      </c>
    </row>
    <row r="3" ht="100" customHeight="1">
      <c r="A3" s="2" t="s">
        <v>37</v>
      </c>
      <c r="B3" s="2" t="s">
        <v>20</v>
      </c>
      <c r="C3" s="2" t="s">
        <v>21</v>
      </c>
      <c r="D3" s="2" t="s">
        <v>22</v>
      </c>
      <c r="E3" s="2" t="s">
        <v>38</v>
      </c>
      <c r="F3" s="2" t="s">
        <v>24</v>
      </c>
      <c r="G3" s="2" t="s">
        <v>25</v>
      </c>
      <c r="H3" s="2" t="s">
        <v>26</v>
      </c>
      <c r="I3" s="2" t="s">
        <v>27</v>
      </c>
      <c r="J3" s="2" t="s">
        <v>39</v>
      </c>
      <c r="K3" s="2" t="s">
        <v>40</v>
      </c>
      <c r="L3" s="2" t="s">
        <v>41</v>
      </c>
      <c r="M3" s="2" t="s">
        <v>42</v>
      </c>
      <c r="N3" s="2" t="s">
        <v>32</v>
      </c>
      <c r="O3" s="2" t="s">
        <v>33</v>
      </c>
      <c r="P3" s="2" t="s">
        <v>43</v>
      </c>
      <c r="Q3" s="2"/>
      <c r="R3" s="2" t="s">
        <v>44</v>
      </c>
      <c r="S3" s="2" t="s">
        <v>36</v>
      </c>
    </row>
    <row r="4" ht="87" customHeight="1">
      <c r="A4" s="2" t="s">
        <v>45</v>
      </c>
      <c r="B4" s="2" t="s">
        <v>20</v>
      </c>
      <c r="C4" s="2" t="s">
        <v>21</v>
      </c>
      <c r="D4" s="2" t="s">
        <v>46</v>
      </c>
      <c r="E4" s="2" t="s">
        <v>47</v>
      </c>
      <c r="F4" s="2" t="s">
        <v>48</v>
      </c>
      <c r="G4" s="2" t="s">
        <v>25</v>
      </c>
      <c r="H4" s="2" t="s">
        <v>26</v>
      </c>
      <c r="I4" s="2" t="s">
        <v>27</v>
      </c>
      <c r="J4" s="2" t="s">
        <v>49</v>
      </c>
      <c r="K4" s="2"/>
      <c r="L4" s="2" t="s">
        <v>50</v>
      </c>
      <c r="M4" s="2" t="s">
        <v>51</v>
      </c>
      <c r="N4" s="2" t="s">
        <v>32</v>
      </c>
      <c r="O4" s="2" t="s">
        <v>33</v>
      </c>
      <c r="P4" s="2" t="s">
        <v>52</v>
      </c>
      <c r="Q4" s="2"/>
      <c r="R4" s="2" t="s">
        <v>53</v>
      </c>
      <c r="S4" s="2" t="s">
        <v>36</v>
      </c>
    </row>
    <row r="5" ht="87" customHeight="1">
      <c r="A5" s="2" t="s">
        <v>54</v>
      </c>
      <c r="B5" s="2" t="s">
        <v>20</v>
      </c>
      <c r="C5" s="2" t="s">
        <v>21</v>
      </c>
      <c r="D5" s="2" t="s">
        <v>46</v>
      </c>
      <c r="E5" s="2" t="s">
        <v>55</v>
      </c>
      <c r="F5" s="2" t="s">
        <v>24</v>
      </c>
      <c r="G5" s="2" t="s">
        <v>56</v>
      </c>
      <c r="H5" s="2" t="s">
        <v>26</v>
      </c>
      <c r="I5" s="2" t="s">
        <v>27</v>
      </c>
      <c r="J5" s="2" t="s">
        <v>57</v>
      </c>
      <c r="K5" s="2" t="s">
        <v>58</v>
      </c>
      <c r="L5" s="2" t="s">
        <v>59</v>
      </c>
      <c r="M5" s="2" t="s">
        <v>60</v>
      </c>
      <c r="N5" s="2" t="s">
        <v>32</v>
      </c>
      <c r="O5" s="2" t="s">
        <v>33</v>
      </c>
      <c r="P5" s="2" t="s">
        <v>61</v>
      </c>
      <c r="Q5" s="2"/>
      <c r="R5" s="2" t="s">
        <v>62</v>
      </c>
      <c r="S5" s="2" t="s">
        <v>36</v>
      </c>
    </row>
    <row r="6" ht="101.5" customHeight="1">
      <c r="A6" s="2" t="s">
        <v>63</v>
      </c>
      <c r="B6" s="2" t="s">
        <v>20</v>
      </c>
      <c r="C6" s="2" t="s">
        <v>21</v>
      </c>
      <c r="D6" s="2" t="s">
        <v>64</v>
      </c>
      <c r="E6" s="2" t="s">
        <v>65</v>
      </c>
      <c r="F6" s="2" t="s">
        <v>66</v>
      </c>
      <c r="G6" s="2" t="s">
        <v>56</v>
      </c>
      <c r="H6" s="2" t="s">
        <v>26</v>
      </c>
      <c r="I6" s="2" t="s">
        <v>27</v>
      </c>
      <c r="J6" s="2" t="s">
        <v>67</v>
      </c>
      <c r="K6" s="2" t="s">
        <v>68</v>
      </c>
      <c r="L6" s="2" t="s">
        <v>69</v>
      </c>
      <c r="M6" s="2" t="s">
        <v>70</v>
      </c>
      <c r="N6" s="2" t="s">
        <v>32</v>
      </c>
      <c r="O6" s="2" t="s">
        <v>33</v>
      </c>
      <c r="P6" s="2" t="s">
        <v>71</v>
      </c>
      <c r="Q6" s="2"/>
      <c r="R6" s="2" t="s">
        <v>72</v>
      </c>
      <c r="S6" s="2" t="s">
        <v>36</v>
      </c>
    </row>
    <row r="7" ht="203" customHeight="1">
      <c r="A7" s="2" t="s">
        <v>73</v>
      </c>
      <c r="B7" s="2" t="s">
        <v>20</v>
      </c>
      <c r="C7" s="2" t="s">
        <v>21</v>
      </c>
      <c r="D7" s="2" t="s">
        <v>74</v>
      </c>
      <c r="E7" s="2" t="s">
        <v>75</v>
      </c>
      <c r="F7" s="2" t="s">
        <v>66</v>
      </c>
      <c r="G7" s="2" t="s">
        <v>25</v>
      </c>
      <c r="H7" s="2" t="s">
        <v>26</v>
      </c>
      <c r="I7" s="2" t="s">
        <v>27</v>
      </c>
      <c r="J7" s="2" t="s">
        <v>76</v>
      </c>
      <c r="K7" s="2" t="s">
        <v>77</v>
      </c>
      <c r="L7" s="2" t="s">
        <v>78</v>
      </c>
      <c r="M7" s="2" t="s">
        <v>79</v>
      </c>
      <c r="N7" s="2" t="s">
        <v>80</v>
      </c>
      <c r="O7" s="2" t="s">
        <v>81</v>
      </c>
      <c r="P7" s="2" t="s">
        <v>82</v>
      </c>
      <c r="Q7" s="2" t="s">
        <v>83</v>
      </c>
      <c r="R7" s="2" t="s">
        <v>84</v>
      </c>
      <c r="S7" s="2" t="s">
        <v>36</v>
      </c>
    </row>
    <row r="8" ht="101.5" customHeight="1">
      <c r="A8" s="2" t="s">
        <v>85</v>
      </c>
      <c r="B8" s="2" t="s">
        <v>20</v>
      </c>
      <c r="C8" s="2" t="s">
        <v>21</v>
      </c>
      <c r="D8" s="2" t="s">
        <v>86</v>
      </c>
      <c r="E8" s="2" t="s">
        <v>87</v>
      </c>
      <c r="F8" s="2" t="s">
        <v>48</v>
      </c>
      <c r="G8" s="2" t="s">
        <v>56</v>
      </c>
      <c r="H8" s="2" t="s">
        <v>26</v>
      </c>
      <c r="I8" s="2" t="s">
        <v>27</v>
      </c>
      <c r="J8" s="2" t="s">
        <v>88</v>
      </c>
      <c r="K8" s="2" t="s">
        <v>89</v>
      </c>
      <c r="L8" s="2" t="s">
        <v>90</v>
      </c>
      <c r="M8" s="2" t="s">
        <v>91</v>
      </c>
      <c r="N8" s="2" t="s">
        <v>32</v>
      </c>
      <c r="O8" s="2" t="s">
        <v>33</v>
      </c>
      <c r="P8" s="2" t="s">
        <v>92</v>
      </c>
      <c r="Q8" s="2"/>
      <c r="R8" s="2" t="s">
        <v>93</v>
      </c>
      <c r="S8" s="2" t="s">
        <v>36</v>
      </c>
    </row>
    <row r="9">
      <c r="A9" s="0" t="s">
        <v>94</v>
      </c>
      <c r="B9" s="0" t="s">
        <v>20</v>
      </c>
      <c r="C9" s="0" t="s">
        <v>95</v>
      </c>
      <c r="D9" s="0" t="s">
        <v>96</v>
      </c>
      <c r="E9" s="0" t="s">
        <v>97</v>
      </c>
      <c r="F9" s="0" t="s">
        <v>98</v>
      </c>
      <c r="G9" s="0" t="s">
        <v>25</v>
      </c>
      <c r="H9" s="0" t="s">
        <v>26</v>
      </c>
      <c r="I9" s="0" t="s">
        <v>99</v>
      </c>
      <c r="J9" s="0" t="s">
        <v>100</v>
      </c>
      <c r="K9" s="0" t="s">
        <v>101</v>
      </c>
      <c r="L9" s="0" t="s">
        <v>102</v>
      </c>
      <c r="M9" s="0" t="s">
        <v>103</v>
      </c>
      <c r="N9" s="0" t="s">
        <v>32</v>
      </c>
      <c r="O9" s="0" t="s">
        <v>33</v>
      </c>
      <c r="P9" s="0" t="s">
        <v>104</v>
      </c>
      <c r="R9" s="0" t="s">
        <v>105</v>
      </c>
      <c r="S9" s="0" t="s">
        <v>106</v>
      </c>
    </row>
    <row r="10">
      <c r="A10" s="0" t="s">
        <v>107</v>
      </c>
      <c r="B10" s="0" t="s">
        <v>20</v>
      </c>
      <c r="C10" s="0" t="s">
        <v>108</v>
      </c>
      <c r="D10" s="0" t="s">
        <v>109</v>
      </c>
      <c r="E10" s="0" t="s">
        <v>110</v>
      </c>
      <c r="F10" s="0" t="s">
        <v>66</v>
      </c>
      <c r="G10" s="0" t="s">
        <v>25</v>
      </c>
      <c r="H10" s="0" t="s">
        <v>26</v>
      </c>
      <c r="I10" s="0" t="s">
        <v>111</v>
      </c>
      <c r="J10" s="0" t="s">
        <v>112</v>
      </c>
      <c r="K10" s="0" t="s">
        <v>113</v>
      </c>
      <c r="L10" s="0" t="s">
        <v>114</v>
      </c>
      <c r="M10" s="0" t="s">
        <v>115</v>
      </c>
      <c r="N10" s="0" t="s">
        <v>32</v>
      </c>
      <c r="O10" s="0" t="s">
        <v>33</v>
      </c>
      <c r="P10" s="0" t="s">
        <v>116</v>
      </c>
      <c r="R10" s="0" t="s">
        <v>117</v>
      </c>
      <c r="S10" s="0" t="s">
        <v>106</v>
      </c>
    </row>
    <row r="11">
      <c r="A11" s="0" t="s">
        <v>118</v>
      </c>
      <c r="B11" s="0" t="s">
        <v>20</v>
      </c>
      <c r="C11" s="0" t="s">
        <v>108</v>
      </c>
      <c r="D11" s="0" t="s">
        <v>119</v>
      </c>
      <c r="E11" s="0" t="s">
        <v>120</v>
      </c>
      <c r="F11" s="0" t="s">
        <v>66</v>
      </c>
      <c r="G11" s="0" t="s">
        <v>56</v>
      </c>
      <c r="H11" s="0" t="s">
        <v>26</v>
      </c>
      <c r="I11" s="0" t="s">
        <v>121</v>
      </c>
      <c r="J11" s="0" t="s">
        <v>122</v>
      </c>
      <c r="K11" s="0" t="s">
        <v>123</v>
      </c>
      <c r="L11" s="0" t="s">
        <v>124</v>
      </c>
      <c r="M11" s="0" t="s">
        <v>125</v>
      </c>
      <c r="N11" s="0" t="s">
        <v>32</v>
      </c>
      <c r="O11" s="0" t="s">
        <v>33</v>
      </c>
      <c r="P11" s="0" t="s">
        <v>126</v>
      </c>
      <c r="R11" s="0" t="s">
        <v>127</v>
      </c>
      <c r="S11" s="0" t="s">
        <v>106</v>
      </c>
    </row>
    <row r="12">
      <c r="A12" s="0" t="s">
        <v>128</v>
      </c>
      <c r="B12" s="0" t="s">
        <v>20</v>
      </c>
      <c r="C12" s="0" t="s">
        <v>108</v>
      </c>
      <c r="D12" s="0" t="s">
        <v>129</v>
      </c>
      <c r="E12" s="0" t="s">
        <v>130</v>
      </c>
      <c r="F12" s="0" t="s">
        <v>48</v>
      </c>
      <c r="G12" s="0" t="s">
        <v>56</v>
      </c>
      <c r="H12" s="0" t="s">
        <v>26</v>
      </c>
      <c r="I12" s="0" t="s">
        <v>131</v>
      </c>
      <c r="J12" s="0" t="s">
        <v>132</v>
      </c>
      <c r="K12" s="0" t="s">
        <v>133</v>
      </c>
      <c r="L12" s="0" t="s">
        <v>134</v>
      </c>
      <c r="M12" s="0" t="s">
        <v>135</v>
      </c>
      <c r="N12" s="0" t="s">
        <v>32</v>
      </c>
      <c r="O12" s="0" t="s">
        <v>33</v>
      </c>
      <c r="P12" s="0" t="s">
        <v>136</v>
      </c>
      <c r="R12" s="0" t="s">
        <v>137</v>
      </c>
      <c r="S12" s="0" t="s">
        <v>106</v>
      </c>
    </row>
    <row r="13">
      <c r="A13" s="0" t="s">
        <v>138</v>
      </c>
      <c r="B13" s="0" t="s">
        <v>20</v>
      </c>
      <c r="C13" s="0" t="s">
        <v>139</v>
      </c>
      <c r="D13" s="0" t="s">
        <v>140</v>
      </c>
      <c r="E13" s="0" t="s">
        <v>141</v>
      </c>
      <c r="F13" s="0" t="s">
        <v>98</v>
      </c>
      <c r="G13" s="0" t="s">
        <v>25</v>
      </c>
      <c r="H13" s="0" t="s">
        <v>26</v>
      </c>
      <c r="I13" s="0" t="s">
        <v>142</v>
      </c>
      <c r="J13" s="0" t="s">
        <v>143</v>
      </c>
      <c r="K13" s="0" t="s">
        <v>144</v>
      </c>
      <c r="L13" s="0" t="s">
        <v>145</v>
      </c>
      <c r="M13" s="0" t="s">
        <v>146</v>
      </c>
      <c r="N13" s="0" t="s">
        <v>32</v>
      </c>
      <c r="O13" s="0" t="s">
        <v>33</v>
      </c>
      <c r="P13" s="0" t="s">
        <v>147</v>
      </c>
      <c r="R13" s="0" t="s">
        <v>148</v>
      </c>
      <c r="S13" s="0" t="s">
        <v>106</v>
      </c>
    </row>
    <row r="14">
      <c r="A14" s="0" t="s">
        <v>149</v>
      </c>
      <c r="B14" s="0" t="s">
        <v>150</v>
      </c>
      <c r="C14" s="0" t="s">
        <v>151</v>
      </c>
      <c r="D14" s="0" t="s">
        <v>152</v>
      </c>
      <c r="E14" s="0" t="s">
        <v>153</v>
      </c>
      <c r="F14" s="0" t="s">
        <v>154</v>
      </c>
      <c r="G14" s="0" t="s">
        <v>25</v>
      </c>
      <c r="H14" s="0" t="s">
        <v>26</v>
      </c>
      <c r="I14" s="0" t="s">
        <v>155</v>
      </c>
      <c r="J14" s="0" t="s">
        <v>156</v>
      </c>
      <c r="K14" s="0" t="s">
        <v>157</v>
      </c>
      <c r="L14" s="0" t="s">
        <v>158</v>
      </c>
      <c r="M14" s="0" t="s">
        <v>159</v>
      </c>
      <c r="N14" s="0" t="s">
        <v>32</v>
      </c>
      <c r="P14" s="0" t="s">
        <v>160</v>
      </c>
      <c r="R14" s="0" t="s">
        <v>161</v>
      </c>
      <c r="S14" s="0" t="s">
        <v>162</v>
      </c>
    </row>
    <row r="15">
      <c r="A15" s="0" t="s">
        <v>163</v>
      </c>
      <c r="B15" s="0" t="s">
        <v>150</v>
      </c>
      <c r="C15" s="0" t="s">
        <v>151</v>
      </c>
      <c r="D15" s="0" t="s">
        <v>164</v>
      </c>
      <c r="E15" s="0" t="s">
        <v>165</v>
      </c>
      <c r="F15" s="0" t="s">
        <v>154</v>
      </c>
      <c r="G15" s="0" t="s">
        <v>25</v>
      </c>
      <c r="H15" s="0" t="s">
        <v>26</v>
      </c>
      <c r="I15" s="0" t="s">
        <v>166</v>
      </c>
      <c r="J15" s="0" t="s">
        <v>167</v>
      </c>
      <c r="K15" s="0" t="s">
        <v>168</v>
      </c>
      <c r="L15" s="0" t="s">
        <v>169</v>
      </c>
      <c r="M15" s="0" t="s">
        <v>170</v>
      </c>
      <c r="N15" s="0" t="s">
        <v>32</v>
      </c>
      <c r="P15" s="0" t="s">
        <v>171</v>
      </c>
      <c r="R15" s="0" t="s">
        <v>172</v>
      </c>
      <c r="S15" s="0" t="s">
        <v>162</v>
      </c>
    </row>
    <row r="16">
      <c r="A16" s="0" t="s">
        <v>173</v>
      </c>
      <c r="B16" s="0" t="s">
        <v>150</v>
      </c>
      <c r="C16" s="0" t="s">
        <v>151</v>
      </c>
      <c r="D16" s="0" t="s">
        <v>174</v>
      </c>
      <c r="E16" s="0" t="s">
        <v>175</v>
      </c>
      <c r="F16" s="0" t="s">
        <v>154</v>
      </c>
      <c r="G16" s="0" t="s">
        <v>25</v>
      </c>
      <c r="H16" s="0" t="s">
        <v>26</v>
      </c>
      <c r="I16" s="0" t="s">
        <v>176</v>
      </c>
      <c r="J16" s="0" t="s">
        <v>177</v>
      </c>
      <c r="K16" s="0" t="s">
        <v>178</v>
      </c>
      <c r="L16" s="0" t="s">
        <v>179</v>
      </c>
      <c r="M16" s="0" t="s">
        <v>180</v>
      </c>
      <c r="N16" s="0" t="s">
        <v>32</v>
      </c>
      <c r="P16" s="0" t="s">
        <v>181</v>
      </c>
      <c r="R16" s="0" t="s">
        <v>182</v>
      </c>
      <c r="S16" s="0" t="s">
        <v>162</v>
      </c>
    </row>
    <row r="17">
      <c r="A17" s="0" t="s">
        <v>183</v>
      </c>
      <c r="B17" s="0" t="s">
        <v>150</v>
      </c>
      <c r="C17" s="0" t="s">
        <v>151</v>
      </c>
      <c r="D17" s="0" t="s">
        <v>184</v>
      </c>
      <c r="E17" s="0" t="s">
        <v>185</v>
      </c>
      <c r="F17" s="0" t="s">
        <v>186</v>
      </c>
      <c r="G17" s="0" t="s">
        <v>25</v>
      </c>
      <c r="H17" s="0" t="s">
        <v>26</v>
      </c>
      <c r="I17" s="0" t="s">
        <v>187</v>
      </c>
      <c r="J17" s="0" t="s">
        <v>188</v>
      </c>
      <c r="K17" s="0" t="s">
        <v>189</v>
      </c>
      <c r="L17" s="0" t="s">
        <v>190</v>
      </c>
      <c r="M17" s="0" t="s">
        <v>191</v>
      </c>
      <c r="N17" s="0" t="s">
        <v>32</v>
      </c>
      <c r="P17" s="0" t="s">
        <v>192</v>
      </c>
      <c r="R17" s="0" t="s">
        <v>193</v>
      </c>
      <c r="S17" s="0" t="s">
        <v>162</v>
      </c>
    </row>
    <row r="18">
      <c r="A18" s="0" t="s">
        <v>194</v>
      </c>
      <c r="B18" s="0" t="s">
        <v>150</v>
      </c>
      <c r="C18" s="0" t="s">
        <v>151</v>
      </c>
      <c r="D18" s="0" t="s">
        <v>195</v>
      </c>
      <c r="E18" s="0" t="s">
        <v>196</v>
      </c>
      <c r="F18" s="0" t="s">
        <v>186</v>
      </c>
      <c r="G18" s="0" t="s">
        <v>25</v>
      </c>
      <c r="H18" s="0" t="s">
        <v>26</v>
      </c>
      <c r="I18" s="0" t="s">
        <v>197</v>
      </c>
      <c r="J18" s="0" t="s">
        <v>198</v>
      </c>
      <c r="K18" s="0" t="s">
        <v>199</v>
      </c>
      <c r="L18" s="0" t="s">
        <v>200</v>
      </c>
      <c r="M18" s="0" t="s">
        <v>201</v>
      </c>
      <c r="N18" s="0" t="s">
        <v>32</v>
      </c>
      <c r="P18" s="0" t="s">
        <v>202</v>
      </c>
      <c r="R18" s="0" t="s">
        <v>203</v>
      </c>
      <c r="S18" s="0" t="s">
        <v>162</v>
      </c>
    </row>
    <row r="19">
      <c r="A19" s="0" t="s">
        <v>204</v>
      </c>
      <c r="B19" s="0" t="s">
        <v>150</v>
      </c>
      <c r="C19" s="0" t="s">
        <v>205</v>
      </c>
      <c r="D19" s="0" t="s">
        <v>206</v>
      </c>
      <c r="E19" s="0" t="s">
        <v>207</v>
      </c>
      <c r="F19" s="0" t="s">
        <v>154</v>
      </c>
      <c r="G19" s="0" t="s">
        <v>25</v>
      </c>
      <c r="H19" s="0" t="s">
        <v>26</v>
      </c>
      <c r="I19" s="0" t="s">
        <v>208</v>
      </c>
      <c r="J19" s="0" t="s">
        <v>209</v>
      </c>
      <c r="K19" s="0" t="s">
        <v>210</v>
      </c>
      <c r="L19" s="0" t="s">
        <v>211</v>
      </c>
      <c r="M19" s="0" t="s">
        <v>212</v>
      </c>
      <c r="N19" s="0" t="s">
        <v>32</v>
      </c>
      <c r="P19" s="0" t="s">
        <v>213</v>
      </c>
      <c r="R19" s="0" t="s">
        <v>214</v>
      </c>
      <c r="S19" s="0" t="s">
        <v>162</v>
      </c>
    </row>
    <row r="20">
      <c r="A20" s="0" t="s">
        <v>215</v>
      </c>
      <c r="B20" s="0" t="s">
        <v>216</v>
      </c>
      <c r="C20" s="0" t="s">
        <v>205</v>
      </c>
      <c r="D20" s="0" t="s">
        <v>217</v>
      </c>
      <c r="E20" s="0" t="s">
        <v>218</v>
      </c>
      <c r="F20" s="0" t="s">
        <v>186</v>
      </c>
      <c r="G20" s="0" t="s">
        <v>25</v>
      </c>
      <c r="H20" s="0" t="s">
        <v>26</v>
      </c>
      <c r="I20" s="0" t="s">
        <v>219</v>
      </c>
      <c r="J20" s="0" t="s">
        <v>220</v>
      </c>
      <c r="K20" s="0" t="s">
        <v>189</v>
      </c>
      <c r="L20" s="0" t="s">
        <v>221</v>
      </c>
      <c r="M20" s="0" t="s">
        <v>222</v>
      </c>
      <c r="N20" s="0" t="s">
        <v>32</v>
      </c>
      <c r="P20" s="0" t="s">
        <v>223</v>
      </c>
      <c r="R20" s="0" t="s">
        <v>224</v>
      </c>
      <c r="S20" s="0" t="s">
        <v>162</v>
      </c>
    </row>
    <row r="21">
      <c r="A21" s="0" t="s">
        <v>225</v>
      </c>
      <c r="B21" s="0" t="s">
        <v>226</v>
      </c>
      <c r="C21" s="0" t="s">
        <v>227</v>
      </c>
      <c r="D21" s="0" t="s">
        <v>228</v>
      </c>
      <c r="E21" s="0" t="s">
        <v>229</v>
      </c>
      <c r="F21" s="0" t="s">
        <v>230</v>
      </c>
      <c r="G21" s="0" t="s">
        <v>25</v>
      </c>
      <c r="H21" s="0" t="s">
        <v>26</v>
      </c>
      <c r="I21" s="0" t="s">
        <v>231</v>
      </c>
      <c r="J21" s="0" t="s">
        <v>232</v>
      </c>
      <c r="K21" s="0" t="s">
        <v>233</v>
      </c>
      <c r="L21" s="0" t="s">
        <v>234</v>
      </c>
      <c r="M21" s="0" t="s">
        <v>235</v>
      </c>
      <c r="N21" s="0" t="s">
        <v>32</v>
      </c>
      <c r="P21" s="0" t="s">
        <v>236</v>
      </c>
      <c r="R21" s="0" t="s">
        <v>237</v>
      </c>
      <c r="S21" s="0" t="s">
        <v>238</v>
      </c>
    </row>
    <row r="22">
      <c r="A22" s="0" t="s">
        <v>239</v>
      </c>
      <c r="B22" s="0" t="s">
        <v>150</v>
      </c>
      <c r="C22" s="0" t="s">
        <v>240</v>
      </c>
      <c r="D22" s="0" t="s">
        <v>241</v>
      </c>
      <c r="E22" s="0" t="s">
        <v>242</v>
      </c>
      <c r="F22" s="0" t="s">
        <v>243</v>
      </c>
      <c r="G22" s="0" t="s">
        <v>25</v>
      </c>
      <c r="H22" s="0" t="s">
        <v>244</v>
      </c>
      <c r="I22" s="0" t="s">
        <v>245</v>
      </c>
      <c r="J22" s="0" t="s">
        <v>246</v>
      </c>
      <c r="K22" s="0" t="s">
        <v>247</v>
      </c>
      <c r="L22" s="0" t="s">
        <v>248</v>
      </c>
      <c r="M22" s="0" t="s">
        <v>249</v>
      </c>
      <c r="N22" s="0" t="s">
        <v>32</v>
      </c>
      <c r="O22" s="0" t="s">
        <v>81</v>
      </c>
      <c r="P22" s="0" t="s">
        <v>250</v>
      </c>
      <c r="R22" s="0" t="s">
        <v>251</v>
      </c>
      <c r="S22" s="0" t="s">
        <v>252</v>
      </c>
    </row>
    <row r="23">
      <c r="A23" s="0" t="s">
        <v>253</v>
      </c>
      <c r="B23" s="0" t="s">
        <v>150</v>
      </c>
      <c r="C23" s="0" t="s">
        <v>240</v>
      </c>
      <c r="D23" s="0" t="s">
        <v>254</v>
      </c>
      <c r="E23" s="0" t="s">
        <v>255</v>
      </c>
      <c r="F23" s="0" t="s">
        <v>243</v>
      </c>
      <c r="G23" s="0" t="s">
        <v>25</v>
      </c>
      <c r="H23" s="0" t="s">
        <v>244</v>
      </c>
      <c r="I23" s="0" t="s">
        <v>256</v>
      </c>
      <c r="J23" s="0" t="s">
        <v>257</v>
      </c>
      <c r="K23" s="0" t="s">
        <v>258</v>
      </c>
      <c r="L23" s="0" t="s">
        <v>259</v>
      </c>
      <c r="M23" s="0" t="s">
        <v>260</v>
      </c>
      <c r="N23" s="0" t="s">
        <v>32</v>
      </c>
      <c r="O23" s="0" t="s">
        <v>81</v>
      </c>
      <c r="P23" s="0" t="s">
        <v>261</v>
      </c>
      <c r="R23" s="0" t="s">
        <v>262</v>
      </c>
      <c r="S23" s="0" t="s">
        <v>252</v>
      </c>
    </row>
    <row r="24">
      <c r="A24" s="0" t="s">
        <v>263</v>
      </c>
      <c r="B24" s="0" t="s">
        <v>150</v>
      </c>
      <c r="C24" s="0" t="s">
        <v>240</v>
      </c>
      <c r="D24" s="0" t="s">
        <v>264</v>
      </c>
      <c r="E24" s="0" t="s">
        <v>265</v>
      </c>
      <c r="F24" s="0" t="s">
        <v>24</v>
      </c>
      <c r="G24" s="0" t="s">
        <v>25</v>
      </c>
      <c r="H24" s="0" t="s">
        <v>244</v>
      </c>
      <c r="I24" s="0" t="s">
        <v>266</v>
      </c>
      <c r="J24" s="0" t="s">
        <v>267</v>
      </c>
      <c r="K24" s="0" t="s">
        <v>268</v>
      </c>
      <c r="L24" s="0" t="s">
        <v>269</v>
      </c>
      <c r="M24" s="0" t="s">
        <v>270</v>
      </c>
      <c r="N24" s="0" t="s">
        <v>32</v>
      </c>
      <c r="O24" s="0" t="s">
        <v>81</v>
      </c>
      <c r="P24" s="0" t="s">
        <v>271</v>
      </c>
      <c r="R24" s="0" t="s">
        <v>272</v>
      </c>
      <c r="S24" s="0" t="s">
        <v>252</v>
      </c>
    </row>
    <row r="25">
      <c r="A25" s="0" t="s">
        <v>273</v>
      </c>
      <c r="B25" s="0" t="s">
        <v>150</v>
      </c>
      <c r="C25" s="0" t="s">
        <v>240</v>
      </c>
      <c r="D25" s="0" t="s">
        <v>274</v>
      </c>
      <c r="E25" s="0" t="s">
        <v>275</v>
      </c>
      <c r="F25" s="0" t="s">
        <v>243</v>
      </c>
      <c r="G25" s="0" t="s">
        <v>25</v>
      </c>
      <c r="H25" s="0" t="s">
        <v>244</v>
      </c>
      <c r="I25" s="0" t="s">
        <v>276</v>
      </c>
      <c r="J25" s="0" t="s">
        <v>277</v>
      </c>
      <c r="K25" s="0" t="s">
        <v>278</v>
      </c>
      <c r="L25" s="0" t="s">
        <v>279</v>
      </c>
      <c r="M25" s="0" t="s">
        <v>280</v>
      </c>
      <c r="N25" s="0" t="s">
        <v>32</v>
      </c>
      <c r="O25" s="0" t="s">
        <v>81</v>
      </c>
      <c r="P25" s="0" t="s">
        <v>281</v>
      </c>
      <c r="R25" s="0" t="s">
        <v>282</v>
      </c>
      <c r="S25" s="0" t="s">
        <v>252</v>
      </c>
    </row>
    <row r="26">
      <c r="A26" s="0" t="s">
        <v>283</v>
      </c>
      <c r="B26" s="0" t="s">
        <v>226</v>
      </c>
      <c r="C26" s="0" t="s">
        <v>284</v>
      </c>
      <c r="D26" s="0" t="s">
        <v>285</v>
      </c>
      <c r="E26" s="0" t="s">
        <v>286</v>
      </c>
      <c r="F26" s="0" t="s">
        <v>66</v>
      </c>
      <c r="G26" s="0" t="s">
        <v>25</v>
      </c>
      <c r="H26" s="0" t="s">
        <v>244</v>
      </c>
      <c r="I26" s="0" t="s">
        <v>287</v>
      </c>
      <c r="J26" s="0" t="s">
        <v>288</v>
      </c>
      <c r="K26" s="0" t="s">
        <v>289</v>
      </c>
      <c r="L26" s="0" t="s">
        <v>290</v>
      </c>
      <c r="M26" s="0" t="s">
        <v>291</v>
      </c>
      <c r="N26" s="0" t="s">
        <v>32</v>
      </c>
      <c r="O26" s="0" t="s">
        <v>81</v>
      </c>
      <c r="P26" s="0" t="s">
        <v>292</v>
      </c>
      <c r="R26" s="0" t="s">
        <v>293</v>
      </c>
      <c r="S26" s="0" t="s">
        <v>252</v>
      </c>
    </row>
    <row r="27">
      <c r="A27" s="0" t="s">
        <v>294</v>
      </c>
      <c r="B27" s="0" t="s">
        <v>226</v>
      </c>
      <c r="C27" s="0" t="s">
        <v>284</v>
      </c>
      <c r="D27" s="0" t="s">
        <v>285</v>
      </c>
      <c r="E27" s="0" t="s">
        <v>295</v>
      </c>
      <c r="F27" s="0" t="s">
        <v>66</v>
      </c>
      <c r="G27" s="0" t="s">
        <v>25</v>
      </c>
      <c r="H27" s="0" t="s">
        <v>244</v>
      </c>
      <c r="I27" s="0" t="s">
        <v>296</v>
      </c>
      <c r="J27" s="0" t="s">
        <v>297</v>
      </c>
      <c r="K27" s="0" t="s">
        <v>298</v>
      </c>
      <c r="L27" s="0" t="s">
        <v>299</v>
      </c>
      <c r="M27" s="0" t="s">
        <v>300</v>
      </c>
      <c r="N27" s="0" t="s">
        <v>32</v>
      </c>
      <c r="O27" s="0" t="s">
        <v>81</v>
      </c>
      <c r="P27" s="0" t="s">
        <v>301</v>
      </c>
      <c r="R27" s="0" t="s">
        <v>302</v>
      </c>
      <c r="S27" s="0" t="s">
        <v>252</v>
      </c>
    </row>
    <row r="28">
      <c r="A28" s="0" t="s">
        <v>303</v>
      </c>
      <c r="B28" s="0" t="s">
        <v>226</v>
      </c>
      <c r="C28" s="0" t="s">
        <v>284</v>
      </c>
      <c r="D28" s="0" t="s">
        <v>304</v>
      </c>
      <c r="E28" s="0" t="s">
        <v>305</v>
      </c>
      <c r="F28" s="0" t="s">
        <v>24</v>
      </c>
      <c r="G28" s="0" t="s">
        <v>56</v>
      </c>
      <c r="H28" s="0" t="s">
        <v>244</v>
      </c>
      <c r="I28" s="0" t="s">
        <v>306</v>
      </c>
      <c r="J28" s="0" t="s">
        <v>307</v>
      </c>
      <c r="K28" s="0" t="s">
        <v>308</v>
      </c>
      <c r="L28" s="0" t="s">
        <v>309</v>
      </c>
      <c r="M28" s="0" t="s">
        <v>310</v>
      </c>
      <c r="N28" s="0" t="s">
        <v>32</v>
      </c>
      <c r="O28" s="0" t="s">
        <v>81</v>
      </c>
      <c r="P28" s="0" t="s">
        <v>311</v>
      </c>
      <c r="R28" s="0" t="s">
        <v>312</v>
      </c>
      <c r="S28" s="0" t="s">
        <v>252</v>
      </c>
    </row>
    <row r="29">
      <c r="A29" s="0" t="s">
        <v>313</v>
      </c>
      <c r="B29" s="0" t="s">
        <v>226</v>
      </c>
      <c r="C29" s="0" t="s">
        <v>314</v>
      </c>
      <c r="D29" s="0" t="s">
        <v>315</v>
      </c>
      <c r="E29" s="0" t="s">
        <v>316</v>
      </c>
      <c r="F29" s="0" t="s">
        <v>24</v>
      </c>
      <c r="G29" s="0" t="s">
        <v>25</v>
      </c>
      <c r="H29" s="0" t="s">
        <v>244</v>
      </c>
      <c r="I29" s="0" t="s">
        <v>317</v>
      </c>
      <c r="J29" s="0" t="s">
        <v>318</v>
      </c>
      <c r="K29" s="0" t="s">
        <v>319</v>
      </c>
      <c r="L29" s="0" t="s">
        <v>320</v>
      </c>
      <c r="M29" s="0" t="s">
        <v>321</v>
      </c>
      <c r="N29" s="0" t="s">
        <v>32</v>
      </c>
      <c r="O29" s="0" t="s">
        <v>322</v>
      </c>
      <c r="P29" s="0" t="s">
        <v>323</v>
      </c>
      <c r="R29" s="0" t="s">
        <v>324</v>
      </c>
      <c r="S29" s="0" t="s">
        <v>252</v>
      </c>
    </row>
  </sheetData>
  <pageMargins left="0.75" right="0.75" top="1" bottom="1" header="0.5" footer="0.5"/>
  <headerFooter/>
</worksheet>
</file>

<file path=xl/worksheets/sheet2.xml><?xml version="1.0" encoding="utf-8"?>
<worksheet xmlns="http://schemas.openxmlformats.org/spreadsheetml/2006/main" xmlns:mc="http://schemas.openxmlformats.org/markup-compatibility/2006" xmlns:xr="http://schemas.microsoft.com/office/spreadsheetml/2014/revision" mc:Ignorable="xr ">
  <sheetPr>
    <outlinePr summaryBelow="1" summaryRight="1"/>
    <pageSetUpPr/>
  </sheetPr>
  <dimension ref="A1:E3"/>
  <sheetViews>
    <sheetView workbookViewId="0">
      <selection activeCell="A1" sqref="A1"/>
    </sheetView>
  </sheetViews>
  <sheetFormatPr baseColWidth="8" defaultRowHeight="14.5"/>
  <sheetData>
    <row r="1">
      <c r="A1" s="0" t="s">
        <v>325</v>
      </c>
      <c r="B1" s="0" t="s">
        <v>326</v>
      </c>
      <c r="C1" s="0" t="s">
        <v>327</v>
      </c>
      <c r="D1" s="0" t="s">
        <v>328</v>
      </c>
      <c r="E1" s="0" t="s">
        <v>329</v>
      </c>
    </row>
    <row r="2">
      <c r="A2" s="0" t="s">
        <v>19</v>
      </c>
      <c r="B2" s="0" t="s">
        <v>29</v>
      </c>
      <c r="C2" s="0" t="s">
        <v>330</v>
      </c>
      <c r="D2" s="0" t="s">
        <v>331</v>
      </c>
      <c r="E2" s="0" t="s">
        <v>332</v>
      </c>
    </row>
    <row r="3">
      <c r="A3" s="0" t="s">
        <v>37</v>
      </c>
      <c r="B3" s="0" t="s">
        <v>40</v>
      </c>
      <c r="C3" s="0" t="s">
        <v>330</v>
      </c>
      <c r="D3" s="0" t="s">
        <v>331</v>
      </c>
      <c r="E3" s="0" t="s">
        <v>333</v>
      </c>
    </row>
  </sheetData>
  <pageMargins left="0.75" right="0.75" top="1" bottom="1" header="0.5" footer="0.5"/>
  <headerFooter/>
</worksheet>
</file>

<file path=xl/worksheets/sheet3.xml><?xml version="1.0" encoding="utf-8"?>
<worksheet xmlns="http://schemas.openxmlformats.org/spreadsheetml/2006/main" xmlns:mc="http://schemas.openxmlformats.org/markup-compatibility/2006" xmlns:xr="http://schemas.microsoft.com/office/spreadsheetml/2014/revision" mc:Ignorable="xr ">
  <sheetPr>
    <outlinePr summaryBelow="1" summaryRight="1"/>
    <pageSetUpPr/>
  </sheetPr>
  <dimension ref="A1:N2"/>
  <sheetViews>
    <sheetView workbookViewId="0">
      <selection activeCell="A1" sqref="A1"/>
    </sheetView>
  </sheetViews>
  <sheetFormatPr baseColWidth="8" defaultRowHeight="14.5"/>
  <sheetData>
    <row r="1">
      <c r="A1" s="0" t="s">
        <v>16</v>
      </c>
      <c r="B1" s="0" t="s">
        <v>334</v>
      </c>
      <c r="C1" s="0" t="s">
        <v>1</v>
      </c>
      <c r="D1" s="0" t="s">
        <v>335</v>
      </c>
      <c r="E1" s="0" t="s">
        <v>336</v>
      </c>
      <c r="F1" s="0" t="s">
        <v>337</v>
      </c>
      <c r="G1" s="0" t="s">
        <v>338</v>
      </c>
      <c r="H1" s="0" t="s">
        <v>339</v>
      </c>
      <c r="I1" s="0" t="s">
        <v>340</v>
      </c>
      <c r="J1" s="0" t="s">
        <v>341</v>
      </c>
      <c r="K1" s="0" t="s">
        <v>342</v>
      </c>
      <c r="L1" s="0" t="s">
        <v>343</v>
      </c>
      <c r="M1" s="0" t="s">
        <v>344</v>
      </c>
      <c r="N1" s="0" t="s">
        <v>345</v>
      </c>
    </row>
    <row r="2">
      <c r="A2" s="0" t="s">
        <v>83</v>
      </c>
      <c r="B2" s="0" t="s">
        <v>346</v>
      </c>
      <c r="C2" s="0" t="s">
        <v>20</v>
      </c>
      <c r="D2" s="0" t="s">
        <v>73</v>
      </c>
      <c r="E2" s="0" t="s">
        <v>347</v>
      </c>
      <c r="F2" s="0" t="s">
        <v>348</v>
      </c>
      <c r="G2" s="0" t="s">
        <v>349</v>
      </c>
      <c r="H2" s="0" t="s">
        <v>350</v>
      </c>
      <c r="I2" s="0" t="s">
        <v>351</v>
      </c>
      <c r="J2" s="0" t="s">
        <v>56</v>
      </c>
      <c r="K2" s="0" t="s">
        <v>352</v>
      </c>
      <c r="L2" s="0" t="s">
        <v>82</v>
      </c>
      <c r="M2" s="0" t="s">
        <v>81</v>
      </c>
      <c r="N2" s="0" t="s">
        <v>353</v>
      </c>
    </row>
  </sheetData>
  <pageMargins left="0.75" right="0.75" top="1" bottom="1" header="0.5" footer="0.5"/>
  <headerFooter/>
</worksheet>
</file>

<file path=xl/worksheets/sheet4.xml><?xml version="1.0" encoding="utf-8"?>
<worksheet xmlns="http://schemas.openxmlformats.org/spreadsheetml/2006/main" xmlns:mc="http://schemas.openxmlformats.org/markup-compatibility/2006" xmlns:xr="http://schemas.microsoft.com/office/spreadsheetml/2014/revision" mc:Ignorable="xr ">
  <sheetPr>
    <outlinePr summaryBelow="1" summaryRight="1"/>
    <pageSetUpPr/>
  </sheetPr>
  <dimension ref="A1:J14"/>
  <sheetViews>
    <sheetView workbookViewId="0">
      <selection activeCell="A1" sqref="A1"/>
    </sheetView>
  </sheetViews>
  <sheetFormatPr baseColWidth="8" defaultRowHeight="14.5"/>
  <sheetData>
    <row r="1">
      <c r="A1" s="0" t="s">
        <v>354</v>
      </c>
      <c r="B1" s="0" t="s">
        <v>355</v>
      </c>
      <c r="C1" s="0" t="s">
        <v>356</v>
      </c>
      <c r="D1" s="0" t="s">
        <v>357</v>
      </c>
      <c r="E1" s="0" t="s">
        <v>358</v>
      </c>
      <c r="F1" s="0" t="s">
        <v>359</v>
      </c>
      <c r="G1" s="0" t="s">
        <v>360</v>
      </c>
      <c r="H1" s="0" t="s">
        <v>361</v>
      </c>
      <c r="I1" s="0" t="s">
        <v>362</v>
      </c>
      <c r="J1" s="0" t="s">
        <v>363</v>
      </c>
    </row>
    <row r="2">
      <c r="A2" s="0">
        <v>1</v>
      </c>
      <c r="B2" s="0" t="s">
        <v>364</v>
      </c>
      <c r="C2" s="0" t="s">
        <v>365</v>
      </c>
      <c r="D2" s="0" t="s">
        <v>366</v>
      </c>
      <c r="E2" s="0" t="s">
        <v>367</v>
      </c>
      <c r="F2" s="0" t="s">
        <v>368</v>
      </c>
      <c r="G2" s="0" t="s">
        <v>369</v>
      </c>
      <c r="H2" s="0" t="s">
        <v>370</v>
      </c>
      <c r="I2" s="0" t="s">
        <v>371</v>
      </c>
      <c r="J2" s="0" t="s">
        <v>372</v>
      </c>
    </row>
    <row r="3">
      <c r="A3" s="0">
        <v>2</v>
      </c>
      <c r="B3" s="0" t="s">
        <v>373</v>
      </c>
      <c r="C3" s="0" t="s">
        <v>374</v>
      </c>
      <c r="D3" s="0" t="s">
        <v>366</v>
      </c>
      <c r="E3" s="0" t="s">
        <v>375</v>
      </c>
      <c r="F3" s="0" t="s">
        <v>376</v>
      </c>
      <c r="G3" s="0" t="s">
        <v>377</v>
      </c>
      <c r="H3" s="0" t="s">
        <v>378</v>
      </c>
      <c r="I3" s="0" t="s">
        <v>379</v>
      </c>
      <c r="J3" s="0" t="s">
        <v>380</v>
      </c>
    </row>
    <row r="4">
      <c r="A4" s="0">
        <v>3</v>
      </c>
      <c r="B4" s="0" t="s">
        <v>373</v>
      </c>
      <c r="C4" s="0" t="s">
        <v>381</v>
      </c>
      <c r="D4" s="0" t="s">
        <v>382</v>
      </c>
      <c r="E4" s="0" t="s">
        <v>383</v>
      </c>
      <c r="F4" s="0" t="s">
        <v>384</v>
      </c>
      <c r="G4" s="0" t="s">
        <v>385</v>
      </c>
      <c r="H4" s="0" t="s">
        <v>378</v>
      </c>
      <c r="I4" s="0" t="s">
        <v>386</v>
      </c>
      <c r="J4" s="0" t="s">
        <v>387</v>
      </c>
    </row>
    <row r="5">
      <c r="A5" s="0">
        <v>4</v>
      </c>
      <c r="B5" s="0" t="s">
        <v>388</v>
      </c>
      <c r="C5" s="0" t="s">
        <v>381</v>
      </c>
      <c r="D5" s="0" t="s">
        <v>382</v>
      </c>
      <c r="E5" s="0" t="s">
        <v>389</v>
      </c>
      <c r="F5" s="0" t="s">
        <v>390</v>
      </c>
      <c r="G5" s="0" t="s">
        <v>391</v>
      </c>
      <c r="H5" s="0" t="s">
        <v>392</v>
      </c>
      <c r="I5" s="0" t="s">
        <v>393</v>
      </c>
      <c r="J5" s="0" t="s">
        <v>394</v>
      </c>
    </row>
    <row r="6">
      <c r="A6" s="0">
        <v>5</v>
      </c>
      <c r="B6" s="0" t="s">
        <v>33</v>
      </c>
      <c r="C6" s="0" t="s">
        <v>395</v>
      </c>
      <c r="D6" s="0" t="s">
        <v>382</v>
      </c>
      <c r="E6" s="0" t="s">
        <v>396</v>
      </c>
      <c r="F6" s="0" t="s">
        <v>397</v>
      </c>
      <c r="G6" s="0" t="s">
        <v>398</v>
      </c>
      <c r="H6" s="0" t="s">
        <v>378</v>
      </c>
      <c r="I6" s="0" t="s">
        <v>399</v>
      </c>
      <c r="J6" s="0" t="s">
        <v>400</v>
      </c>
    </row>
    <row r="7">
      <c r="A7" s="0">
        <v>6</v>
      </c>
      <c r="B7" s="0" t="s">
        <v>81</v>
      </c>
      <c r="C7" s="0" t="s">
        <v>401</v>
      </c>
      <c r="D7" s="0" t="s">
        <v>402</v>
      </c>
      <c r="E7" s="0" t="s">
        <v>403</v>
      </c>
      <c r="F7" s="0" t="s">
        <v>404</v>
      </c>
      <c r="G7" s="0" t="s">
        <v>405</v>
      </c>
      <c r="H7" s="0" t="s">
        <v>406</v>
      </c>
      <c r="I7" s="0" t="s">
        <v>407</v>
      </c>
      <c r="J7" s="0" t="s">
        <v>408</v>
      </c>
    </row>
    <row r="8">
      <c r="A8" s="0">
        <v>7</v>
      </c>
      <c r="B8" s="0" t="s">
        <v>81</v>
      </c>
      <c r="C8" s="0" t="s">
        <v>409</v>
      </c>
      <c r="D8" s="0" t="s">
        <v>410</v>
      </c>
      <c r="E8" s="0" t="s">
        <v>411</v>
      </c>
      <c r="F8" s="0" t="s">
        <v>412</v>
      </c>
    </row>
    <row r="9">
      <c r="A9" s="0">
        <v>8</v>
      </c>
      <c r="B9" s="0" t="s">
        <v>81</v>
      </c>
      <c r="C9" s="0" t="s">
        <v>395</v>
      </c>
      <c r="D9" s="0" t="s">
        <v>413</v>
      </c>
      <c r="E9" s="0" t="s">
        <v>414</v>
      </c>
      <c r="F9" s="0" t="s">
        <v>415</v>
      </c>
      <c r="G9" s="0" t="s">
        <v>416</v>
      </c>
      <c r="H9" s="0" t="s">
        <v>417</v>
      </c>
      <c r="I9" s="0" t="s">
        <v>418</v>
      </c>
      <c r="J9" s="0" t="s">
        <v>419</v>
      </c>
    </row>
    <row r="10">
      <c r="A10" s="0">
        <v>9</v>
      </c>
      <c r="B10" s="0" t="s">
        <v>81</v>
      </c>
      <c r="C10" s="0" t="s">
        <v>420</v>
      </c>
      <c r="D10" s="0" t="s">
        <v>382</v>
      </c>
      <c r="E10" s="0" t="s">
        <v>421</v>
      </c>
      <c r="F10" s="0" t="s">
        <v>422</v>
      </c>
      <c r="G10" s="0" t="s">
        <v>423</v>
      </c>
      <c r="H10" s="0" t="s">
        <v>424</v>
      </c>
      <c r="I10" s="0" t="s">
        <v>425</v>
      </c>
      <c r="J10" s="0" t="s">
        <v>426</v>
      </c>
    </row>
    <row r="11">
      <c r="A11" s="0">
        <v>10</v>
      </c>
      <c r="B11" s="0" t="s">
        <v>81</v>
      </c>
      <c r="C11" s="0" t="s">
        <v>427</v>
      </c>
      <c r="D11" s="0" t="s">
        <v>382</v>
      </c>
      <c r="E11" s="0" t="s">
        <v>428</v>
      </c>
      <c r="F11" s="0" t="s">
        <v>429</v>
      </c>
      <c r="G11" s="0" t="s">
        <v>430</v>
      </c>
      <c r="H11" s="0" t="s">
        <v>431</v>
      </c>
      <c r="I11" s="0" t="s">
        <v>432</v>
      </c>
      <c r="J11" s="0" t="s">
        <v>433</v>
      </c>
    </row>
    <row r="12">
      <c r="A12" s="0">
        <v>11</v>
      </c>
      <c r="B12" s="0" t="s">
        <v>322</v>
      </c>
      <c r="C12" s="0" t="s">
        <v>434</v>
      </c>
      <c r="D12" s="0" t="s">
        <v>382</v>
      </c>
      <c r="E12" s="0" t="s">
        <v>435</v>
      </c>
      <c r="F12" s="0" t="s">
        <v>436</v>
      </c>
      <c r="G12" s="0" t="s">
        <v>437</v>
      </c>
      <c r="H12" s="0" t="s">
        <v>431</v>
      </c>
      <c r="I12" s="0" t="s">
        <v>438</v>
      </c>
      <c r="J12" s="0" t="s">
        <v>439</v>
      </c>
    </row>
    <row r="13">
      <c r="A13" s="0">
        <v>12</v>
      </c>
      <c r="B13" s="0" t="s">
        <v>322</v>
      </c>
      <c r="C13" s="0" t="s">
        <v>395</v>
      </c>
      <c r="D13" s="0" t="s">
        <v>382</v>
      </c>
      <c r="E13" s="0" t="s">
        <v>440</v>
      </c>
      <c r="F13" s="0" t="s">
        <v>441</v>
      </c>
      <c r="G13" s="0" t="s">
        <v>442</v>
      </c>
      <c r="H13" s="0" t="s">
        <v>443</v>
      </c>
      <c r="I13" s="0" t="s">
        <v>444</v>
      </c>
      <c r="J13" s="0" t="s">
        <v>445</v>
      </c>
    </row>
    <row r="14">
      <c r="A14" s="0">
        <v>13</v>
      </c>
      <c r="B14" s="0" t="s">
        <v>322</v>
      </c>
      <c r="C14" s="0" t="s">
        <v>446</v>
      </c>
      <c r="D14" s="0" t="s">
        <v>447</v>
      </c>
      <c r="E14" s="0" t="s">
        <v>448</v>
      </c>
      <c r="F14" s="0" t="s">
        <v>449</v>
      </c>
      <c r="G14" s="0" t="s">
        <v>450</v>
      </c>
      <c r="H14" s="0" t="s">
        <v>451</v>
      </c>
      <c r="I14" s="0" t="s">
        <v>452</v>
      </c>
      <c r="J14" s="0" t="s">
        <v>453</v>
      </c>
    </row>
  </sheetData>
  <pageMargins left="0.75" right="0.75" top="1" bottom="1" header="0.5" footer="0.5"/>
  <headerFooter/>
</worksheet>
</file>

<file path=xl/worksheets/sheet5.xml><?xml version="1.0" encoding="utf-8"?>
<worksheet xmlns="http://schemas.openxmlformats.org/spreadsheetml/2006/main" xmlns:mc="http://schemas.openxmlformats.org/markup-compatibility/2006" xmlns:xr="http://schemas.microsoft.com/office/spreadsheetml/2014/revision" mc:Ignorable="xr ">
  <sheetPr>
    <outlinePr summaryBelow="1" summaryRight="1"/>
    <pageSetUpPr/>
  </sheetPr>
  <dimension ref="A1:J15"/>
  <sheetViews>
    <sheetView workbookViewId="0">
      <selection activeCell="A1" sqref="A1"/>
    </sheetView>
  </sheetViews>
  <sheetFormatPr baseColWidth="8" defaultRowHeight="14.5"/>
  <sheetData>
    <row r="1">
      <c r="A1" s="0" t="s">
        <v>1</v>
      </c>
      <c r="B1" s="0" t="s">
        <v>2</v>
      </c>
      <c r="C1" s="0" t="s">
        <v>454</v>
      </c>
      <c r="D1" s="0" t="s">
        <v>455</v>
      </c>
      <c r="E1" s="0" t="s">
        <v>26</v>
      </c>
      <c r="F1" s="0" t="s">
        <v>244</v>
      </c>
      <c r="G1" s="0" t="s">
        <v>456</v>
      </c>
      <c r="H1" s="0" t="s">
        <v>457</v>
      </c>
      <c r="I1" s="0" t="s">
        <v>458</v>
      </c>
      <c r="J1" s="0" t="s">
        <v>459</v>
      </c>
    </row>
    <row r="2">
      <c r="A2" s="0" t="s">
        <v>20</v>
      </c>
      <c r="B2" s="0" t="s">
        <v>21</v>
      </c>
      <c r="C2" s="0" t="s">
        <v>460</v>
      </c>
      <c r="D2" s="0">
        <f>COUNTIF('Test Cases'!$C:$C, B2)</f>
        <v/>
      </c>
      <c r="E2" s="0">
        <f>COUNTIFS('Test Cases'!$C:$C, B2, 'Test Cases'!$H:$H, "Auto")</f>
        <v/>
      </c>
      <c r="F2" s="0">
        <f>COUNTIFS('Test Cases'!$C:$C, B2, 'Test Cases'!$H:$H, "Manual")</f>
        <v/>
      </c>
      <c r="G2" s="0">
        <f>COUNTIFS('Test Cases'!$C:$C, B2, 'Test Cases'!$N:$N, "Pass")</f>
        <v/>
      </c>
      <c r="H2" s="0">
        <f>COUNTIFS('Test Cases'!$C:$C, B2, 'Test Cases'!$N:$N, "Fail")</f>
        <v/>
      </c>
      <c r="I2" s="0">
        <f>COUNTIFS('Test Cases'!$C:$C, B2, 'Test Cases'!$N:$N, "Not Run")</f>
        <v/>
      </c>
      <c r="J2" s="3">
        <f>IF(D2&gt;0, G2/D2, 0)</f>
        <v/>
      </c>
    </row>
    <row r="3">
      <c r="A3" s="0" t="s">
        <v>20</v>
      </c>
      <c r="B3" s="0" t="s">
        <v>95</v>
      </c>
      <c r="C3" s="0" t="s">
        <v>461</v>
      </c>
      <c r="D3" s="0">
        <f>COUNTIF('Test Cases'!$C:$C, B3)</f>
        <v/>
      </c>
      <c r="E3" s="0">
        <f>COUNTIFS('Test Cases'!$C:$C, B3, 'Test Cases'!$H:$H, "Auto")</f>
        <v/>
      </c>
      <c r="F3" s="0">
        <f>COUNTIFS('Test Cases'!$C:$C, B3, 'Test Cases'!$H:$H, "Manual")</f>
        <v/>
      </c>
      <c r="G3" s="0">
        <f>COUNTIFS('Test Cases'!$C:$C, B3, 'Test Cases'!$N:$N, "Pass")</f>
        <v/>
      </c>
      <c r="H3" s="0">
        <f>COUNTIFS('Test Cases'!$C:$C, B3, 'Test Cases'!$N:$N, "Fail")</f>
        <v/>
      </c>
      <c r="I3" s="0">
        <f>COUNTIFS('Test Cases'!$C:$C, B3, 'Test Cases'!$N:$N, "Not Run")</f>
        <v/>
      </c>
      <c r="J3" s="3">
        <f>IF(D3&gt;0, G3/D3, 0)</f>
        <v/>
      </c>
    </row>
    <row r="4">
      <c r="A4" s="0" t="s">
        <v>20</v>
      </c>
      <c r="B4" s="0" t="s">
        <v>108</v>
      </c>
      <c r="C4" s="0" t="s">
        <v>462</v>
      </c>
      <c r="D4" s="0">
        <f>COUNTIF('Test Cases'!$C:$C, B4)</f>
        <v/>
      </c>
      <c r="E4" s="0">
        <f>COUNTIFS('Test Cases'!$C:$C, B4, 'Test Cases'!$H:$H, "Auto")</f>
        <v/>
      </c>
      <c r="F4" s="0">
        <f>COUNTIFS('Test Cases'!$C:$C, B4, 'Test Cases'!$H:$H, "Manual")</f>
        <v/>
      </c>
      <c r="G4" s="0">
        <f>COUNTIFS('Test Cases'!$C:$C, B4, 'Test Cases'!$N:$N, "Pass")</f>
        <v/>
      </c>
      <c r="H4" s="0">
        <f>COUNTIFS('Test Cases'!$C:$C, B4, 'Test Cases'!$N:$N, "Fail")</f>
        <v/>
      </c>
      <c r="I4" s="0">
        <f>COUNTIFS('Test Cases'!$C:$C, B4, 'Test Cases'!$N:$N, "Not Run")</f>
        <v/>
      </c>
      <c r="J4" s="3">
        <f>IF(D4&gt;0, G4/D4, 0)</f>
        <v/>
      </c>
    </row>
    <row r="5">
      <c r="A5" s="0" t="s">
        <v>20</v>
      </c>
      <c r="B5" s="0" t="s">
        <v>139</v>
      </c>
      <c r="C5" s="0" t="s">
        <v>463</v>
      </c>
      <c r="D5" s="0">
        <f>COUNTIF('Test Cases'!$C:$C, B5)</f>
        <v/>
      </c>
      <c r="E5" s="0">
        <f>COUNTIFS('Test Cases'!$C:$C, B5, 'Test Cases'!$H:$H, "Auto")</f>
        <v/>
      </c>
      <c r="F5" s="0">
        <f>COUNTIFS('Test Cases'!$C:$C, B5, 'Test Cases'!$H:$H, "Manual")</f>
        <v/>
      </c>
      <c r="G5" s="0">
        <f>COUNTIFS('Test Cases'!$C:$C, B5, 'Test Cases'!$N:$N, "Pass")</f>
        <v/>
      </c>
      <c r="H5" s="0">
        <f>COUNTIFS('Test Cases'!$C:$C, B5, 'Test Cases'!$N:$N, "Fail")</f>
        <v/>
      </c>
      <c r="I5" s="0">
        <f>COUNTIFS('Test Cases'!$C:$C, B5, 'Test Cases'!$N:$N, "Not Run")</f>
        <v/>
      </c>
      <c r="J5" s="3">
        <f>IF(D5&gt;0, G5/D5, 0)</f>
        <v/>
      </c>
    </row>
    <row r="6">
      <c r="A6" s="4" t="s">
        <v>464</v>
      </c>
      <c r="B6" s="4" t="s">
        <v>465</v>
      </c>
      <c r="C6" s="4" t="s">
        <v>466</v>
      </c>
      <c r="D6" s="4">
        <f>SUM(D2:D5)</f>
        <v/>
      </c>
      <c r="E6" s="4">
        <f>SUM(E2:E5)</f>
        <v/>
      </c>
      <c r="F6" s="4">
        <f>SUM(F2:F5)</f>
        <v/>
      </c>
      <c r="G6" s="4">
        <f>SUM(G2:G5)</f>
        <v/>
      </c>
      <c r="H6" s="4">
        <f>SUM(H2:H5)</f>
        <v/>
      </c>
      <c r="I6" s="4">
        <f>SUM(I2:I5)</f>
        <v/>
      </c>
      <c r="J6" s="5">
        <f>IF(D6&gt;0, G6/D6, 0)</f>
        <v/>
      </c>
    </row>
    <row r="7">
      <c r="A7" s="0" t="s">
        <v>467</v>
      </c>
      <c r="B7" s="0" t="s">
        <v>151</v>
      </c>
      <c r="C7" s="0" t="s">
        <v>468</v>
      </c>
      <c r="D7" s="0">
        <f>COUNTIF('Test Cases'!$C:$C, B7)</f>
        <v/>
      </c>
      <c r="E7" s="0">
        <f>COUNTIFS('Test Cases'!$C:$C, B7, 'Test Cases'!$H:$H, "Auto")</f>
        <v/>
      </c>
      <c r="F7" s="0">
        <f>COUNTIFS('Test Cases'!$C:$C, B7, 'Test Cases'!$H:$H, "Manual")</f>
        <v/>
      </c>
      <c r="G7" s="0">
        <f>COUNTIFS('Test Cases'!$C:$C, B7, 'Test Cases'!$N:$N, "Pass")</f>
        <v/>
      </c>
      <c r="H7" s="0">
        <f>COUNTIFS('Test Cases'!$C:$C, B7, 'Test Cases'!$N:$N, "Fail")</f>
        <v/>
      </c>
      <c r="I7" s="0">
        <f>COUNTIFS('Test Cases'!$C:$C, B7, 'Test Cases'!$N:$N, "Not Run")</f>
        <v/>
      </c>
      <c r="J7" s="3">
        <f>IF(D7&gt;0, G7/D7, 0)</f>
        <v/>
      </c>
    </row>
    <row r="8">
      <c r="A8" s="0" t="s">
        <v>467</v>
      </c>
      <c r="B8" s="0" t="s">
        <v>205</v>
      </c>
      <c r="C8" s="0" t="s">
        <v>469</v>
      </c>
      <c r="D8" s="0">
        <f>COUNTIF('Test Cases'!$C:$C, B8)</f>
        <v/>
      </c>
      <c r="E8" s="0">
        <f>COUNTIFS('Test Cases'!$C:$C, B8, 'Test Cases'!$H:$H, "Auto")</f>
        <v/>
      </c>
      <c r="F8" s="0">
        <f>COUNTIFS('Test Cases'!$C:$C, B8, 'Test Cases'!$H:$H, "Manual")</f>
        <v/>
      </c>
      <c r="G8" s="0">
        <f>COUNTIFS('Test Cases'!$C:$C, B8, 'Test Cases'!$N:$N, "Pass")</f>
        <v/>
      </c>
      <c r="H8" s="0">
        <f>COUNTIFS('Test Cases'!$C:$C, B8, 'Test Cases'!$N:$N, "Fail")</f>
        <v/>
      </c>
      <c r="I8" s="0">
        <f>COUNTIFS('Test Cases'!$C:$C, B8, 'Test Cases'!$N:$N, "Not Run")</f>
        <v/>
      </c>
      <c r="J8" s="3">
        <f>IF(D8&gt;0, G8/D8, 0)</f>
        <v/>
      </c>
    </row>
    <row r="9">
      <c r="A9" s="0" t="s">
        <v>467</v>
      </c>
      <c r="B9" s="0" t="s">
        <v>240</v>
      </c>
      <c r="C9" s="0" t="s">
        <v>470</v>
      </c>
      <c r="D9" s="0">
        <f>COUNTIF('Test Cases'!$C:$C, B9)</f>
        <v/>
      </c>
      <c r="E9" s="0">
        <f>COUNTIFS('Test Cases'!$C:$C, B9, 'Test Cases'!$H:$H, "Auto")</f>
        <v/>
      </c>
      <c r="F9" s="0">
        <f>COUNTIFS('Test Cases'!$C:$C, B9, 'Test Cases'!$H:$H, "Manual")</f>
        <v/>
      </c>
      <c r="G9" s="0">
        <f>COUNTIFS('Test Cases'!$C:$C, B9, 'Test Cases'!$N:$N, "Pass")</f>
        <v/>
      </c>
      <c r="H9" s="0">
        <f>COUNTIFS('Test Cases'!$C:$C, B9, 'Test Cases'!$N:$N, "Fail")</f>
        <v/>
      </c>
      <c r="I9" s="0">
        <f>COUNTIFS('Test Cases'!$C:$C, B9, 'Test Cases'!$N:$N, "Not Run")</f>
        <v/>
      </c>
      <c r="J9" s="3">
        <f>IF(D9&gt;0, G9/D9, 0)</f>
        <v/>
      </c>
    </row>
    <row r="10">
      <c r="A10" s="4" t="s">
        <v>471</v>
      </c>
      <c r="B10" s="4" t="s">
        <v>472</v>
      </c>
      <c r="C10" s="4" t="s">
        <v>473</v>
      </c>
      <c r="D10" s="4">
        <f>SUM(D7:D9)</f>
        <v/>
      </c>
      <c r="E10" s="4">
        <f>SUM(E7:E9)</f>
        <v/>
      </c>
      <c r="F10" s="4">
        <f>SUM(F7:F9)</f>
        <v/>
      </c>
      <c r="G10" s="4">
        <f>SUM(G7:G9)</f>
        <v/>
      </c>
      <c r="H10" s="4">
        <f>SUM(H7:H9)</f>
        <v/>
      </c>
      <c r="I10" s="4">
        <f>SUM(I7:I9)</f>
        <v/>
      </c>
      <c r="J10" s="5">
        <f>IF(D10&gt;0, G10/D10, 0)</f>
        <v/>
      </c>
    </row>
    <row r="11">
      <c r="A11" s="0" t="s">
        <v>226</v>
      </c>
      <c r="B11" s="0" t="s">
        <v>227</v>
      </c>
      <c r="C11" s="0" t="s">
        <v>474</v>
      </c>
      <c r="D11" s="0">
        <f>COUNTIF('Test Cases'!$C:$C, B11)</f>
        <v/>
      </c>
      <c r="E11" s="0">
        <f>COUNTIFS('Test Cases'!$C:$C, B11, 'Test Cases'!$H:$H, "Auto")</f>
        <v/>
      </c>
      <c r="F11" s="0">
        <f>COUNTIFS('Test Cases'!$C:$C, B11, 'Test Cases'!$H:$H, "Manual")</f>
        <v/>
      </c>
      <c r="G11" s="0">
        <f>COUNTIFS('Test Cases'!$C:$C, B11, 'Test Cases'!$N:$N, "Pass")</f>
        <v/>
      </c>
      <c r="H11" s="0">
        <f>COUNTIFS('Test Cases'!$C:$C, B11, 'Test Cases'!$N:$N, "Fail")</f>
        <v/>
      </c>
      <c r="I11" s="0">
        <f>COUNTIFS('Test Cases'!$C:$C, B11, 'Test Cases'!$N:$N, "Not Run")</f>
        <v/>
      </c>
      <c r="J11" s="3">
        <f>IF(D11&gt;0, G11/D11, 0)</f>
        <v/>
      </c>
    </row>
    <row r="12">
      <c r="A12" s="0" t="s">
        <v>226</v>
      </c>
      <c r="B12" s="0" t="s">
        <v>284</v>
      </c>
      <c r="C12" s="0" t="s">
        <v>285</v>
      </c>
      <c r="D12" s="0">
        <f>COUNTIF('Test Cases'!$C:$C, B12)</f>
        <v/>
      </c>
      <c r="E12" s="0">
        <f>COUNTIFS('Test Cases'!$C:$C, B12, 'Test Cases'!$H:$H, "Auto")</f>
        <v/>
      </c>
      <c r="F12" s="0">
        <f>COUNTIFS('Test Cases'!$C:$C, B12, 'Test Cases'!$H:$H, "Manual")</f>
        <v/>
      </c>
      <c r="G12" s="0">
        <f>COUNTIFS('Test Cases'!$C:$C, B12, 'Test Cases'!$N:$N, "Pass")</f>
        <v/>
      </c>
      <c r="H12" s="0">
        <f>COUNTIFS('Test Cases'!$C:$C, B12, 'Test Cases'!$N:$N, "Fail")</f>
        <v/>
      </c>
      <c r="I12" s="0">
        <f>COUNTIFS('Test Cases'!$C:$C, B12, 'Test Cases'!$N:$N, "Not Run")</f>
        <v/>
      </c>
      <c r="J12" s="3">
        <f>IF(D12&gt;0, G12/D12, 0)</f>
        <v/>
      </c>
    </row>
    <row r="13">
      <c r="A13" s="0" t="s">
        <v>226</v>
      </c>
      <c r="B13" s="0" t="s">
        <v>314</v>
      </c>
      <c r="C13" s="0" t="s">
        <v>315</v>
      </c>
      <c r="D13" s="0">
        <f>COUNTIF('Test Cases'!$C:$C, B13)</f>
        <v/>
      </c>
      <c r="E13" s="0">
        <f>COUNTIFS('Test Cases'!$C:$C, B13, 'Test Cases'!$H:$H, "Auto")</f>
        <v/>
      </c>
      <c r="F13" s="0">
        <f>COUNTIFS('Test Cases'!$C:$C, B13, 'Test Cases'!$H:$H, "Manual")</f>
        <v/>
      </c>
      <c r="G13" s="0">
        <f>COUNTIFS('Test Cases'!$C:$C, B13, 'Test Cases'!$N:$N, "Pass")</f>
        <v/>
      </c>
      <c r="H13" s="0">
        <f>COUNTIFS('Test Cases'!$C:$C, B13, 'Test Cases'!$N:$N, "Fail")</f>
        <v/>
      </c>
      <c r="I13" s="0">
        <f>COUNTIFS('Test Cases'!$C:$C, B13, 'Test Cases'!$N:$N, "Not Run")</f>
        <v/>
      </c>
      <c r="J13" s="3">
        <f>IF(D13&gt;0, G13/D13, 0)</f>
        <v/>
      </c>
    </row>
    <row r="14">
      <c r="A14" s="4" t="s">
        <v>475</v>
      </c>
      <c r="B14" s="4" t="s">
        <v>476</v>
      </c>
      <c r="C14" s="4" t="s">
        <v>477</v>
      </c>
      <c r="D14" s="4">
        <f>SUM(D11:D13)</f>
        <v/>
      </c>
      <c r="E14" s="4">
        <f>SUM(E11:E13)</f>
        <v/>
      </c>
      <c r="F14" s="4">
        <f>SUM(F11:F13)</f>
        <v/>
      </c>
      <c r="G14" s="4">
        <f>SUM(G11:G13)</f>
        <v/>
      </c>
      <c r="H14" s="4">
        <f>SUM(H11:H13)</f>
        <v/>
      </c>
      <c r="I14" s="4">
        <f>SUM(I11:I13)</f>
        <v/>
      </c>
      <c r="J14" s="5">
        <f>IF(D14&gt;0, G14/D14, 0)</f>
        <v/>
      </c>
    </row>
    <row r="15">
      <c r="A15" s="4" t="s">
        <v>478</v>
      </c>
      <c r="B15" s="4" t="s">
        <v>479</v>
      </c>
      <c r="C15" s="4" t="s">
        <v>480</v>
      </c>
      <c r="D15" s="4">
        <f>D6+D10+D14</f>
        <v/>
      </c>
      <c r="E15" s="4">
        <f>E6+E10+E14</f>
        <v/>
      </c>
      <c r="F15" s="4">
        <f>F6+F10+F14</f>
        <v/>
      </c>
      <c r="G15" s="4">
        <f>G6+G10+G14</f>
        <v/>
      </c>
      <c r="H15" s="4">
        <f>H6+H10+H14</f>
        <v/>
      </c>
      <c r="I15" s="4">
        <f>I6+I10+I14</f>
        <v/>
      </c>
      <c r="J15" s="5">
        <f>IF(D15&gt;0, G15/D15, 0)</f>
        <v/>
      </c>
    </row>
  </sheetData>
  <pageMargins left="0.75" right="0.75" top="1" bottom="1" header="0.5" footer="0.5"/>
  <headerFooter/>
</worksheet>
</file>

<file path=xl/worksheets/sheet6.xml><?xml version="1.0" encoding="utf-8"?>
<worksheet xmlns="http://schemas.openxmlformats.org/spreadsheetml/2006/main" xmlns:mc="http://schemas.openxmlformats.org/markup-compatibility/2006" xmlns:xr="http://schemas.microsoft.com/office/spreadsheetml/2014/revision" mc:Ignorable="xr ">
  <sheetPr>
    <outlinePr summaryBelow="1" summaryRight="1"/>
    <pageSetUpPr/>
  </sheetPr>
  <dimension ref="A1:I29"/>
  <sheetViews>
    <sheetView workbookViewId="0">
      <selection activeCell="A1" sqref="A1"/>
    </sheetView>
  </sheetViews>
  <sheetFormatPr baseColWidth="8" defaultRowHeight="14.5"/>
  <sheetData>
    <row r="1">
      <c r="A1" s="0" t="s">
        <v>481</v>
      </c>
      <c r="B1" s="0" t="s">
        <v>482</v>
      </c>
      <c r="C1" s="0" t="s">
        <v>2</v>
      </c>
      <c r="D1" s="0" t="s">
        <v>454</v>
      </c>
      <c r="E1" s="0" t="s">
        <v>3</v>
      </c>
      <c r="F1" s="0" t="s">
        <v>0</v>
      </c>
      <c r="G1" s="0" t="s">
        <v>483</v>
      </c>
      <c r="H1" s="0" t="s">
        <v>484</v>
      </c>
      <c r="I1" s="0" t="s">
        <v>342</v>
      </c>
    </row>
    <row r="2">
      <c r="A2" s="0" t="s">
        <v>485</v>
      </c>
      <c r="B2" s="0" t="s">
        <v>486</v>
      </c>
      <c r="C2" s="0" t="s">
        <v>21</v>
      </c>
      <c r="D2" s="0" t="s">
        <v>460</v>
      </c>
      <c r="E2" s="0" t="s">
        <v>22</v>
      </c>
      <c r="F2" s="0" t="s">
        <v>19</v>
      </c>
      <c r="G2" s="0" t="s">
        <v>23</v>
      </c>
      <c r="H2" s="0" t="s">
        <v>26</v>
      </c>
      <c r="I2" s="0" t="s">
        <v>32</v>
      </c>
    </row>
    <row r="3">
      <c r="A3" s="0" t="s">
        <v>485</v>
      </c>
      <c r="B3" s="0" t="s">
        <v>486</v>
      </c>
      <c r="C3" s="0" t="s">
        <v>21</v>
      </c>
      <c r="D3" s="0" t="s">
        <v>460</v>
      </c>
      <c r="E3" s="0" t="s">
        <v>22</v>
      </c>
      <c r="F3" s="0" t="s">
        <v>37</v>
      </c>
      <c r="G3" s="0" t="s">
        <v>38</v>
      </c>
      <c r="H3" s="0" t="s">
        <v>26</v>
      </c>
      <c r="I3" s="0" t="s">
        <v>32</v>
      </c>
    </row>
    <row r="4">
      <c r="A4" s="0" t="s">
        <v>485</v>
      </c>
      <c r="B4" s="0" t="s">
        <v>486</v>
      </c>
      <c r="C4" s="0" t="s">
        <v>21</v>
      </c>
      <c r="D4" s="0" t="s">
        <v>460</v>
      </c>
      <c r="E4" s="0" t="s">
        <v>46</v>
      </c>
      <c r="F4" s="0" t="s">
        <v>45</v>
      </c>
      <c r="G4" s="0" t="s">
        <v>47</v>
      </c>
      <c r="H4" s="0" t="s">
        <v>26</v>
      </c>
      <c r="I4" s="0" t="s">
        <v>32</v>
      </c>
    </row>
    <row r="5">
      <c r="A5" s="0" t="s">
        <v>485</v>
      </c>
      <c r="B5" s="0" t="s">
        <v>486</v>
      </c>
      <c r="C5" s="0" t="s">
        <v>21</v>
      </c>
      <c r="D5" s="0" t="s">
        <v>460</v>
      </c>
      <c r="E5" s="0" t="s">
        <v>46</v>
      </c>
      <c r="F5" s="0" t="s">
        <v>54</v>
      </c>
      <c r="G5" s="0" t="s">
        <v>55</v>
      </c>
      <c r="H5" s="0" t="s">
        <v>26</v>
      </c>
      <c r="I5" s="0" t="s">
        <v>32</v>
      </c>
    </row>
    <row r="6">
      <c r="A6" s="0" t="s">
        <v>485</v>
      </c>
      <c r="B6" s="0" t="s">
        <v>486</v>
      </c>
      <c r="C6" s="0" t="s">
        <v>21</v>
      </c>
      <c r="D6" s="0" t="s">
        <v>460</v>
      </c>
      <c r="E6" s="0" t="s">
        <v>64</v>
      </c>
      <c r="F6" s="0" t="s">
        <v>63</v>
      </c>
      <c r="G6" s="0" t="s">
        <v>65</v>
      </c>
      <c r="H6" s="0" t="s">
        <v>26</v>
      </c>
      <c r="I6" s="0" t="s">
        <v>32</v>
      </c>
    </row>
    <row r="7">
      <c r="A7" s="0" t="s">
        <v>485</v>
      </c>
      <c r="B7" s="0" t="s">
        <v>486</v>
      </c>
      <c r="C7" s="0" t="s">
        <v>21</v>
      </c>
      <c r="D7" s="0" t="s">
        <v>460</v>
      </c>
      <c r="E7" s="0" t="s">
        <v>74</v>
      </c>
      <c r="F7" s="0" t="s">
        <v>73</v>
      </c>
      <c r="G7" s="0" t="s">
        <v>75</v>
      </c>
      <c r="H7" s="0" t="s">
        <v>26</v>
      </c>
      <c r="I7" s="0" t="s">
        <v>80</v>
      </c>
    </row>
    <row r="8">
      <c r="A8" s="0" t="s">
        <v>485</v>
      </c>
      <c r="B8" s="0" t="s">
        <v>486</v>
      </c>
      <c r="C8" s="0" t="s">
        <v>21</v>
      </c>
      <c r="D8" s="0" t="s">
        <v>460</v>
      </c>
      <c r="E8" s="0" t="s">
        <v>86</v>
      </c>
      <c r="F8" s="0" t="s">
        <v>85</v>
      </c>
      <c r="G8" s="0" t="s">
        <v>87</v>
      </c>
      <c r="H8" s="0" t="s">
        <v>26</v>
      </c>
      <c r="I8" s="0" t="s">
        <v>32</v>
      </c>
    </row>
    <row r="9">
      <c r="A9" s="0" t="s">
        <v>485</v>
      </c>
      <c r="B9" s="0" t="s">
        <v>486</v>
      </c>
      <c r="C9" s="0" t="s">
        <v>95</v>
      </c>
      <c r="D9" s="0" t="s">
        <v>461</v>
      </c>
      <c r="E9" s="0" t="s">
        <v>96</v>
      </c>
      <c r="F9" s="0" t="s">
        <v>94</v>
      </c>
      <c r="G9" s="0" t="s">
        <v>97</v>
      </c>
      <c r="H9" s="0" t="s">
        <v>26</v>
      </c>
      <c r="I9" s="0" t="s">
        <v>32</v>
      </c>
    </row>
    <row r="10">
      <c r="A10" s="0" t="s">
        <v>485</v>
      </c>
      <c r="B10" s="0" t="s">
        <v>486</v>
      </c>
      <c r="C10" s="0" t="s">
        <v>108</v>
      </c>
      <c r="D10" s="0" t="s">
        <v>462</v>
      </c>
      <c r="E10" s="0" t="s">
        <v>109</v>
      </c>
      <c r="F10" s="0" t="s">
        <v>107</v>
      </c>
      <c r="G10" s="0" t="s">
        <v>110</v>
      </c>
      <c r="H10" s="0" t="s">
        <v>26</v>
      </c>
      <c r="I10" s="0" t="s">
        <v>32</v>
      </c>
    </row>
    <row r="11">
      <c r="A11" s="0" t="s">
        <v>485</v>
      </c>
      <c r="B11" s="0" t="s">
        <v>486</v>
      </c>
      <c r="C11" s="0" t="s">
        <v>108</v>
      </c>
      <c r="D11" s="0" t="s">
        <v>462</v>
      </c>
      <c r="E11" s="0" t="s">
        <v>119</v>
      </c>
      <c r="F11" s="0" t="s">
        <v>118</v>
      </c>
      <c r="G11" s="0" t="s">
        <v>120</v>
      </c>
      <c r="H11" s="0" t="s">
        <v>26</v>
      </c>
      <c r="I11" s="0" t="s">
        <v>32</v>
      </c>
    </row>
    <row r="12">
      <c r="A12" s="0" t="s">
        <v>485</v>
      </c>
      <c r="B12" s="0" t="s">
        <v>486</v>
      </c>
      <c r="C12" s="0" t="s">
        <v>108</v>
      </c>
      <c r="D12" s="0" t="s">
        <v>462</v>
      </c>
      <c r="E12" s="0" t="s">
        <v>129</v>
      </c>
      <c r="F12" s="0" t="s">
        <v>128</v>
      </c>
      <c r="G12" s="0" t="s">
        <v>130</v>
      </c>
      <c r="H12" s="0" t="s">
        <v>26</v>
      </c>
      <c r="I12" s="0" t="s">
        <v>32</v>
      </c>
    </row>
    <row r="13">
      <c r="A13" s="0" t="s">
        <v>485</v>
      </c>
      <c r="B13" s="0" t="s">
        <v>486</v>
      </c>
      <c r="C13" s="0" t="s">
        <v>139</v>
      </c>
      <c r="D13" s="0" t="s">
        <v>463</v>
      </c>
      <c r="E13" s="0" t="s">
        <v>140</v>
      </c>
      <c r="F13" s="0" t="s">
        <v>138</v>
      </c>
      <c r="G13" s="0" t="s">
        <v>141</v>
      </c>
      <c r="H13" s="0" t="s">
        <v>26</v>
      </c>
      <c r="I13" s="0" t="s">
        <v>32</v>
      </c>
    </row>
    <row r="14">
      <c r="A14" s="0" t="s">
        <v>162</v>
      </c>
      <c r="B14" s="0" t="s">
        <v>487</v>
      </c>
      <c r="C14" s="0" t="s">
        <v>151</v>
      </c>
      <c r="D14" s="0" t="s">
        <v>468</v>
      </c>
      <c r="E14" s="0" t="s">
        <v>152</v>
      </c>
      <c r="F14" s="0" t="s">
        <v>149</v>
      </c>
      <c r="G14" s="0" t="s">
        <v>153</v>
      </c>
      <c r="H14" s="0" t="s">
        <v>26</v>
      </c>
      <c r="I14" s="0" t="s">
        <v>32</v>
      </c>
    </row>
    <row r="15">
      <c r="A15" s="0" t="s">
        <v>162</v>
      </c>
      <c r="B15" s="0" t="s">
        <v>487</v>
      </c>
      <c r="C15" s="0" t="s">
        <v>151</v>
      </c>
      <c r="D15" s="0" t="s">
        <v>468</v>
      </c>
      <c r="E15" s="0" t="s">
        <v>164</v>
      </c>
      <c r="F15" s="0" t="s">
        <v>163</v>
      </c>
      <c r="G15" s="0" t="s">
        <v>165</v>
      </c>
      <c r="H15" s="0" t="s">
        <v>26</v>
      </c>
      <c r="I15" s="0" t="s">
        <v>32</v>
      </c>
    </row>
    <row r="16">
      <c r="A16" s="0" t="s">
        <v>162</v>
      </c>
      <c r="B16" s="0" t="s">
        <v>487</v>
      </c>
      <c r="C16" s="0" t="s">
        <v>151</v>
      </c>
      <c r="D16" s="0" t="s">
        <v>468</v>
      </c>
      <c r="E16" s="0" t="s">
        <v>174</v>
      </c>
      <c r="F16" s="0" t="s">
        <v>173</v>
      </c>
      <c r="G16" s="0" t="s">
        <v>175</v>
      </c>
      <c r="H16" s="0" t="s">
        <v>26</v>
      </c>
      <c r="I16" s="0" t="s">
        <v>32</v>
      </c>
    </row>
    <row r="17">
      <c r="A17" s="0" t="s">
        <v>162</v>
      </c>
      <c r="B17" s="0" t="s">
        <v>487</v>
      </c>
      <c r="C17" s="0" t="s">
        <v>151</v>
      </c>
      <c r="D17" s="0" t="s">
        <v>468</v>
      </c>
      <c r="E17" s="0" t="s">
        <v>184</v>
      </c>
      <c r="F17" s="0" t="s">
        <v>183</v>
      </c>
      <c r="G17" s="0" t="s">
        <v>185</v>
      </c>
      <c r="H17" s="0" t="s">
        <v>26</v>
      </c>
      <c r="I17" s="0" t="s">
        <v>32</v>
      </c>
    </row>
    <row r="18">
      <c r="A18" s="0" t="s">
        <v>162</v>
      </c>
      <c r="B18" s="0" t="s">
        <v>487</v>
      </c>
      <c r="C18" s="0" t="s">
        <v>151</v>
      </c>
      <c r="D18" s="0" t="s">
        <v>468</v>
      </c>
      <c r="E18" s="0" t="s">
        <v>195</v>
      </c>
      <c r="F18" s="0" t="s">
        <v>194</v>
      </c>
      <c r="G18" s="0" t="s">
        <v>196</v>
      </c>
      <c r="H18" s="0" t="s">
        <v>26</v>
      </c>
      <c r="I18" s="0" t="s">
        <v>32</v>
      </c>
    </row>
    <row r="19">
      <c r="A19" s="0" t="s">
        <v>162</v>
      </c>
      <c r="B19" s="0" t="s">
        <v>487</v>
      </c>
      <c r="C19" s="0" t="s">
        <v>205</v>
      </c>
      <c r="D19" s="0" t="s">
        <v>469</v>
      </c>
      <c r="E19" s="0" t="s">
        <v>206</v>
      </c>
      <c r="F19" s="0" t="s">
        <v>204</v>
      </c>
      <c r="G19" s="0" t="s">
        <v>207</v>
      </c>
      <c r="H19" s="0" t="s">
        <v>26</v>
      </c>
      <c r="I19" s="0" t="s">
        <v>32</v>
      </c>
    </row>
    <row r="20">
      <c r="A20" s="0" t="s">
        <v>162</v>
      </c>
      <c r="B20" s="0" t="s">
        <v>487</v>
      </c>
      <c r="C20" s="0" t="s">
        <v>205</v>
      </c>
      <c r="D20" s="0" t="s">
        <v>469</v>
      </c>
      <c r="E20" s="0" t="s">
        <v>217</v>
      </c>
      <c r="F20" s="0" t="s">
        <v>215</v>
      </c>
      <c r="G20" s="0" t="s">
        <v>218</v>
      </c>
      <c r="H20" s="0" t="s">
        <v>26</v>
      </c>
      <c r="I20" s="0" t="s">
        <v>32</v>
      </c>
    </row>
    <row r="21">
      <c r="A21" s="0" t="s">
        <v>488</v>
      </c>
      <c r="B21" s="0" t="s">
        <v>489</v>
      </c>
      <c r="C21" s="0" t="s">
        <v>227</v>
      </c>
      <c r="D21" s="0" t="s">
        <v>474</v>
      </c>
      <c r="E21" s="0" t="s">
        <v>228</v>
      </c>
      <c r="F21" s="0" t="s">
        <v>225</v>
      </c>
      <c r="G21" s="0" t="s">
        <v>229</v>
      </c>
      <c r="H21" s="0" t="s">
        <v>26</v>
      </c>
      <c r="I21" s="0" t="s">
        <v>32</v>
      </c>
    </row>
    <row r="22">
      <c r="A22" s="0" t="s">
        <v>162</v>
      </c>
      <c r="B22" s="0" t="s">
        <v>487</v>
      </c>
      <c r="C22" s="0" t="s">
        <v>240</v>
      </c>
      <c r="D22" s="0" t="s">
        <v>470</v>
      </c>
      <c r="E22" s="0" t="s">
        <v>241</v>
      </c>
      <c r="F22" s="0" t="s">
        <v>239</v>
      </c>
      <c r="G22" s="0" t="s">
        <v>242</v>
      </c>
      <c r="H22" s="0" t="s">
        <v>244</v>
      </c>
      <c r="I22" s="0" t="s">
        <v>458</v>
      </c>
    </row>
    <row r="23">
      <c r="A23" s="0" t="s">
        <v>162</v>
      </c>
      <c r="B23" s="0" t="s">
        <v>487</v>
      </c>
      <c r="C23" s="0" t="s">
        <v>240</v>
      </c>
      <c r="D23" s="0" t="s">
        <v>470</v>
      </c>
      <c r="E23" s="0" t="s">
        <v>254</v>
      </c>
      <c r="F23" s="0" t="s">
        <v>253</v>
      </c>
      <c r="G23" s="0" t="s">
        <v>255</v>
      </c>
      <c r="H23" s="0" t="s">
        <v>244</v>
      </c>
      <c r="I23" s="0" t="s">
        <v>458</v>
      </c>
    </row>
    <row r="24">
      <c r="A24" s="0" t="s">
        <v>162</v>
      </c>
      <c r="B24" s="0" t="s">
        <v>487</v>
      </c>
      <c r="C24" s="0" t="s">
        <v>240</v>
      </c>
      <c r="D24" s="0" t="s">
        <v>470</v>
      </c>
      <c r="E24" s="0" t="s">
        <v>264</v>
      </c>
      <c r="F24" s="0" t="s">
        <v>263</v>
      </c>
      <c r="G24" s="0" t="s">
        <v>265</v>
      </c>
      <c r="H24" s="0" t="s">
        <v>244</v>
      </c>
      <c r="I24" s="0" t="s">
        <v>458</v>
      </c>
    </row>
    <row r="25">
      <c r="A25" s="0" t="s">
        <v>162</v>
      </c>
      <c r="B25" s="0" t="s">
        <v>487</v>
      </c>
      <c r="C25" s="0" t="s">
        <v>240</v>
      </c>
      <c r="D25" s="0" t="s">
        <v>470</v>
      </c>
      <c r="E25" s="0" t="s">
        <v>274</v>
      </c>
      <c r="F25" s="0" t="s">
        <v>273</v>
      </c>
      <c r="G25" s="0" t="s">
        <v>275</v>
      </c>
      <c r="H25" s="0" t="s">
        <v>244</v>
      </c>
      <c r="I25" s="0" t="s">
        <v>458</v>
      </c>
    </row>
    <row r="26">
      <c r="A26" s="0" t="s">
        <v>488</v>
      </c>
      <c r="B26" s="0" t="s">
        <v>489</v>
      </c>
      <c r="C26" s="0" t="s">
        <v>284</v>
      </c>
      <c r="D26" s="0" t="s">
        <v>285</v>
      </c>
      <c r="E26" s="0" t="s">
        <v>285</v>
      </c>
      <c r="F26" s="0" t="s">
        <v>283</v>
      </c>
      <c r="G26" s="0" t="s">
        <v>286</v>
      </c>
      <c r="H26" s="0" t="s">
        <v>244</v>
      </c>
      <c r="I26" s="0" t="s">
        <v>458</v>
      </c>
    </row>
    <row r="27">
      <c r="A27" s="0" t="s">
        <v>488</v>
      </c>
      <c r="B27" s="0" t="s">
        <v>489</v>
      </c>
      <c r="C27" s="0" t="s">
        <v>284</v>
      </c>
      <c r="D27" s="0" t="s">
        <v>285</v>
      </c>
      <c r="E27" s="0" t="s">
        <v>285</v>
      </c>
      <c r="F27" s="0" t="s">
        <v>294</v>
      </c>
      <c r="G27" s="0" t="s">
        <v>295</v>
      </c>
      <c r="H27" s="0" t="s">
        <v>244</v>
      </c>
      <c r="I27" s="0" t="s">
        <v>458</v>
      </c>
    </row>
    <row r="28">
      <c r="A28" s="0" t="s">
        <v>488</v>
      </c>
      <c r="B28" s="0" t="s">
        <v>489</v>
      </c>
      <c r="C28" s="0" t="s">
        <v>284</v>
      </c>
      <c r="D28" s="0" t="s">
        <v>285</v>
      </c>
      <c r="E28" s="0" t="s">
        <v>304</v>
      </c>
      <c r="F28" s="0" t="s">
        <v>303</v>
      </c>
      <c r="G28" s="0" t="s">
        <v>305</v>
      </c>
      <c r="H28" s="0" t="s">
        <v>244</v>
      </c>
      <c r="I28" s="0" t="s">
        <v>458</v>
      </c>
    </row>
    <row r="29">
      <c r="A29" s="0" t="s">
        <v>488</v>
      </c>
      <c r="B29" s="0" t="s">
        <v>489</v>
      </c>
      <c r="C29" s="0" t="s">
        <v>314</v>
      </c>
      <c r="D29" s="0" t="s">
        <v>315</v>
      </c>
      <c r="E29" s="0" t="s">
        <v>315</v>
      </c>
      <c r="F29" s="0" t="s">
        <v>313</v>
      </c>
      <c r="G29" s="0" t="s">
        <v>316</v>
      </c>
      <c r="H29" s="0" t="s">
        <v>244</v>
      </c>
      <c r="I29" s="0" t="s">
        <v>458</v>
      </c>
    </row>
  </sheetData>
  <pageMargins left="0.75" right="0.75" top="1" bottom="1" header="0.5" footer="0.5"/>
  <headerFooter/>
</worksheet>
</file>

<file path=EPPlusLicense.txt>This workbook was created with the EPPlus library, licensed to DolibarrTests under the Polyform Noncommercial license, see https://polyformproject.org/licenses/noncommercial/1.0.0
For more information about EPPlus, see https://epplussoftware.com/

</file>

<file path=docProps/app.xml><?xml version="1.0" encoding="utf-8"?>
<Properties xmlns="http://schemas.openxmlformats.org/officeDocument/2006/extended-properties">
  <Application>EPPlus</Application>
  <AppVersion>8.7</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terms:created xmlns:dcterms="http://purl.org/dc/terms/" xmlns:xsi="http://www.w3.org/2001/XMLSchema-instance" xsi:type="dcterms:W3CDTF">2026-09-24T10:29:59Z</dcterms:created>
  <dcterms:modified xmlns:dcterms="http://purl.org/dc/terms/" xmlns:xsi="http://www.w3.org/2001/XMLSchema-instance" xsi:type="dcterms:W3CDTF">2026-10-06T06:24:00Z</dcterms:modified>
  <cp:lastModifiedBy>2273201081640 - NGÔ NGỌC THỦY - 71K28QHCC24</cp:lastModifiedBy>
  <cp:keywords>EPPlus noncommercial use</cp:keywords>
</cp:coreProperties>
</file>

<file path=docProps/custom.xml><?xml version="1.0" encoding="utf-8"?>
<Properties xmlns:vt="http://schemas.openxmlformats.org/officeDocument/2006/docPropsVTypes" xmlns="http://schemas.openxmlformats.org/officeDocument/2006/custom-properties"/>
</file>