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DoAnThucTap_Dolibarr\testcases\"/>
    </mc:Choice>
  </mc:AlternateContent>
  <xr:revisionPtr revIDLastSave="0" documentId="13_ncr:1_{DF4AB051-2837-455F-B1D5-9B12FE3EBE2C}" xr6:coauthVersionLast="47" xr6:coauthVersionMax="47" xr10:uidLastSave="{00000000-0000-0000-0000-000000000000}"/>
  <bookViews>
    <workbookView xWindow="2090" yWindow="1060" windowWidth="14400" windowHeight="7360" xr2:uid="{00000000-000D-0000-FFFF-FFFF00000000}"/>
  </bookViews>
  <sheets>
    <sheet name="Test Cases" sheetId="1" r:id="rId1"/>
    <sheet name="Test Data" sheetId="2" r:id="rId2"/>
    <sheet name="Bug Report" sheetId="3" r:id="rId3"/>
    <sheet name="AI Log" sheetId="4" r:id="rId4"/>
    <sheet name="Summary" sheetId="5" r:id="rId5"/>
    <sheet name="Traceability" sheetId="6" r:id="rId6"/>
  </sheets>
  <calcPr calcId="181029"/>
</workbook>
</file>

<file path=xl/calcChain.xml><?xml version="1.0" encoding="utf-8"?>
<calcChain xmlns="http://schemas.openxmlformats.org/spreadsheetml/2006/main">
  <c r="I13" i="5" l="1"/>
  <c r="H13" i="5"/>
  <c r="G13" i="5"/>
  <c r="F13" i="5"/>
  <c r="E13" i="5"/>
  <c r="D13" i="5"/>
  <c r="J13" i="5" s="1"/>
  <c r="I12" i="5"/>
  <c r="H12" i="5"/>
  <c r="G12" i="5"/>
  <c r="F12" i="5"/>
  <c r="E12" i="5"/>
  <c r="D12" i="5"/>
  <c r="I11" i="5"/>
  <c r="I14" i="5" s="1"/>
  <c r="H11" i="5"/>
  <c r="H14" i="5" s="1"/>
  <c r="G11" i="5"/>
  <c r="G14" i="5" s="1"/>
  <c r="F11" i="5"/>
  <c r="F14" i="5" s="1"/>
  <c r="E11" i="5"/>
  <c r="E14" i="5" s="1"/>
  <c r="D11" i="5"/>
  <c r="I9" i="5"/>
  <c r="H9" i="5"/>
  <c r="G9" i="5"/>
  <c r="J9" i="5" s="1"/>
  <c r="F9" i="5"/>
  <c r="E9" i="5"/>
  <c r="D9" i="5"/>
  <c r="I8" i="5"/>
  <c r="H8" i="5"/>
  <c r="G8" i="5"/>
  <c r="F8" i="5"/>
  <c r="E8" i="5"/>
  <c r="D8" i="5"/>
  <c r="I7" i="5"/>
  <c r="I10" i="5" s="1"/>
  <c r="H7" i="5"/>
  <c r="H10" i="5" s="1"/>
  <c r="G7" i="5"/>
  <c r="G10" i="5" s="1"/>
  <c r="F7" i="5"/>
  <c r="F10" i="5" s="1"/>
  <c r="E7" i="5"/>
  <c r="E10" i="5" s="1"/>
  <c r="D7" i="5"/>
  <c r="I5" i="5"/>
  <c r="H5" i="5"/>
  <c r="G5" i="5"/>
  <c r="J5" i="5" s="1"/>
  <c r="F5" i="5"/>
  <c r="E5" i="5"/>
  <c r="D5" i="5"/>
  <c r="I4" i="5"/>
  <c r="H4" i="5"/>
  <c r="G4" i="5"/>
  <c r="F4" i="5"/>
  <c r="E4" i="5"/>
  <c r="D4" i="5"/>
  <c r="I3" i="5"/>
  <c r="H3" i="5"/>
  <c r="G3" i="5"/>
  <c r="F3" i="5"/>
  <c r="E3" i="5"/>
  <c r="D3" i="5"/>
  <c r="I2" i="5"/>
  <c r="I6" i="5" s="1"/>
  <c r="I15" i="5" s="1"/>
  <c r="H2" i="5"/>
  <c r="G2" i="5"/>
  <c r="G6" i="5" s="1"/>
  <c r="G15" i="5" s="1"/>
  <c r="F2" i="5"/>
  <c r="F6" i="5" s="1"/>
  <c r="F15" i="5" s="1"/>
  <c r="E2" i="5"/>
  <c r="E6" i="5" s="1"/>
  <c r="E15" i="5" s="1"/>
  <c r="D2" i="5"/>
  <c r="D6" i="5" l="1"/>
  <c r="H6" i="5"/>
  <c r="H15" i="5" s="1"/>
  <c r="J4" i="5"/>
  <c r="J7" i="5"/>
  <c r="J12" i="5"/>
  <c r="J3" i="5"/>
  <c r="J8" i="5"/>
  <c r="J11" i="5"/>
  <c r="J6" i="5"/>
  <c r="J2" i="5"/>
  <c r="D10" i="5"/>
  <c r="J10" i="5" s="1"/>
  <c r="D14" i="5"/>
  <c r="J14" i="5" s="1"/>
  <c r="D15" i="5" l="1"/>
  <c r="J15" i="5" s="1"/>
</calcChain>
</file>

<file path=xl/sharedStrings.xml><?xml version="1.0" encoding="utf-8"?>
<sst xmlns="http://schemas.openxmlformats.org/spreadsheetml/2006/main" count="1086" uniqueCount="539">
  <si>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</si>
  <si>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</si>
  <si>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</si>
  <si>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</si>
  <si>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</si>
  <si>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</si>
  <si>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</si>
  <si>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</si>
  <si>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</si>
  <si>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</si>
  <si>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</si>
  <si>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</si>
  <si>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</si>
  <si>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</si>
  <si>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</si>
  <si>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</si>
  <si>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</si>
  <si>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</si>
  <si>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</si>
  <si>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Kết quả script tham khảo (không phải nghiệm thu)</t>
  </si>
  <si>
    <t>TC_CRM_005</t>
  </si>
  <si>
    <t>CRM</t>
  </si>
  <si>
    <t>F-CRM-01</t>
  </si>
  <si>
    <t>Tao khach hang -- kiem tra bien ten (BVA)</t>
  </si>
  <si>
    <t>Tao khach hang voi ten dung 128 ky tu (gioi han toi da)</t>
  </si>
  <si>
    <t>BVA</t>
  </si>
  <si>
    <t>P1</t>
  </si>
  <si>
    <t>Auto</t>
  </si>
  <si>
    <t>Da dang nhap admin; trang Tao khach hang moi dang mo</t>
  </si>
  <si>
    <t>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</si>
  <si>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</si>
  <si>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</si>
  <si>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</si>
  <si>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</si>
  <si>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2026-10-07</t>
  </si>
  <si>
    <t>evidence/automation/TC_CRM_005.png; docs/test_run_acceptance_20261007.log</t>
  </si>
  <si>
    <t>Chạy trên mốc sạch dolibarr_clean, ngày 2026-10-07, tuần tự (DoNotParallelize)</t>
  </si>
  <si>
    <t>AI goi y-da chinh</t>
  </si>
  <si>
    <t>TC_CRM_006</t>
  </si>
  <si>
    <t>Nhap ten 129 ky tu vao o Ten khach hang (gioi han UI maxlength=128)</t>
  </si>
  <si>
    <t>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</si>
  <si>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</si>
  <si>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</si>
  <si>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</si>
  <si>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 docs/test_run_acceptance_20261007.log</t>
  </si>
  <si>
    <t>TC_CRM_007</t>
  </si>
  <si>
    <t>Tao khach hang -- kiem tra bien ten (BVA / EP)</t>
  </si>
  <si>
    <t>Tao khach hang voi ten de trong (khong nhap)</t>
  </si>
  <si>
    <t>BVA/EP</t>
  </si>
  <si>
    <t>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</si>
  <si>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</si>
  <si>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</si>
  <si>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 docs/test_run_acceptance_20261007.log</t>
  </si>
  <si>
    <t>TC_CRM_008</t>
  </si>
  <si>
    <t>Tao khach hang voi ten dung 1 ky tu</t>
  </si>
  <si>
    <t>P2</t>
  </si>
  <si>
    <t>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</si>
  <si>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</si>
  <si>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</si>
  <si>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</si>
  <si>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 docs/test_run_acceptance_20261007.log</t>
  </si>
  <si>
    <t>TC_CRM_009</t>
  </si>
  <si>
    <t>Tao khach hang -- kiem tra bien ten (EP)</t>
  </si>
  <si>
    <t>Tao khach hang voi ten chi gom khoang trang</t>
  </si>
  <si>
    <t>EP</t>
  </si>
  <si>
    <t>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</si>
  <si>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</si>
  <si>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</si>
  <si>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</si>
  <si>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 docs/test_run_acceptance_20261007.log</t>
  </si>
  <si>
    <t>TC_CRM_010</t>
  </si>
  <si>
    <t>Tao khach hang -- ky tu dac biet / an toan du lieu</t>
  </si>
  <si>
    <t>Tao khach hang voi ten chua ky tu dac biet va the HTML</t>
  </si>
  <si>
    <t>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</si>
  <si>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</si>
  <si>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</si>
  <si>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</si>
  <si>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</si>
  <si>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evidence/automation/TC_CRM_010_fail_bug001.png; docs/test_run_acceptance_20261007.log</t>
  </si>
  <si>
    <t>BUG_001</t>
  </si>
  <si>
    <t>Chạy trên mốc sạch dolibarr_clean, ngày 2026-10-07, tuần tự (DoNotParallelize). Bắt đúng BUG_001.</t>
  </si>
  <si>
    <t>TC_CRM_011</t>
  </si>
  <si>
    <t>Tao khach hang -- ky tu Unicode / tieng Viet co dau</t>
  </si>
  <si>
    <t>Tao khach hang voi ten tieng Viet co dau du 128 ky tu</t>
  </si>
  <si>
    <t>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</si>
  <si>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</si>
  <si>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</si>
  <si>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</si>
  <si>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 docs/test_run_acceptance_20261007.log</t>
  </si>
  <si>
    <t>TC_CRM_012</t>
  </si>
  <si>
    <t>F-CRM-02</t>
  </si>
  <si>
    <t>Cap nhat thong tin khach hang -- Sua ten</t>
  </si>
  <si>
    <t>Sua ten khach hang thanh ten moi va luu</t>
  </si>
  <si>
    <t>Use Case</t>
  </si>
  <si>
    <t>Da dang nhap admin; da co khach hang trong he thong</t>
  </si>
  <si>
    <t>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</si>
  <si>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</si>
  <si>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</si>
  <si>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</si>
  <si>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 docs/test_run_acceptance_20261007.log</t>
  </si>
  <si>
    <t>Automation Suite</t>
  </si>
  <si>
    <t>TC_CRM_013</t>
  </si>
  <si>
    <t>F-CRM-03</t>
  </si>
  <si>
    <t>Tim kiem khach hang -- Ten day du</t>
  </si>
  <si>
    <t>Tim kiem khach hang theo ten chinh xac day du</t>
  </si>
  <si>
    <t>Da dang nhap admin; da co khach hang can tim</t>
  </si>
  <si>
    <t>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</si>
  <si>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</si>
  <si>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</si>
  <si>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</si>
  <si>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 docs/test_run_acceptance_20261007.log</t>
  </si>
  <si>
    <t>TC_CRM_014</t>
  </si>
  <si>
    <t>Tim kiem khach hang -- Mot phan ten</t>
  </si>
  <si>
    <t>Tim kiem khach hang theo mot phan chuoi ten (keyword/partial match)</t>
  </si>
  <si>
    <t>Da dang nhap admin; da co khach hang voi ten chua tu khoa</t>
  </si>
  <si>
    <t>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</si>
  <si>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</si>
  <si>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</si>
  <si>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</si>
  <si>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 docs/test_run_acceptance_20261007.log</t>
  </si>
  <si>
    <t>TC_CRM_015</t>
  </si>
  <si>
    <t>Tim kiem khach hang -- Ten khong ton tai</t>
  </si>
  <si>
    <t>Tim kiem khach hang voi ten khong ton tai trong he thong</t>
  </si>
  <si>
    <t>Da dang nhap admin; trang danh sach khach hang dang mo</t>
  </si>
  <si>
    <t>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</si>
  <si>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</si>
  <si>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</si>
  <si>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</si>
  <si>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 docs/test_run_acceptance_20261007.log</t>
  </si>
  <si>
    <t>TC_CRM_016</t>
  </si>
  <si>
    <t>F-CRM-04</t>
  </si>
  <si>
    <t>Xoa khach hang -- Luong chuan</t>
  </si>
  <si>
    <t>Xoa khach hang khoi he thong va xac minh khong con ton tai</t>
  </si>
  <si>
    <t>Da dang nhap admin; da co khach hang can xoa</t>
  </si>
  <si>
    <t>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</si>
  <si>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</si>
  <si>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</si>
  <si>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</si>
  <si>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 docs/test_run_acceptance_20261007.log</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</si>
  <si>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</si>
  <si>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</si>
  <si>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</si>
  <si>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</si>
  <si>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</si>
  <si>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</si>
  <si>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</si>
  <si>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</si>
  <si>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</si>
  <si>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</si>
  <si>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</si>
  <si>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evidence/automation/sales/TC_SAL_001_CreateDraftProposal_ShouldSucceed_2026-10-07_16-01-19.png; docs/test_run_acceptance_20261007.log</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</si>
  <si>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</si>
  <si>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</si>
  <si>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</si>
  <si>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</si>
  <si>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</si>
  <si>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</si>
  <si>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</si>
  <si>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</si>
  <si>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</si>
  <si>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evidence/automation/sales/TC_SAL_002_AddProductLine_ShouldCalculateCorrectTotal_2026-10-07_16-01-26.png; docs/test_run_acceptance_20261007.log</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</si>
  <si>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</si>
  <si>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</si>
  <si>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</si>
  <si>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</si>
  <si>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</si>
  <si>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</si>
  <si>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</si>
  <si>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</si>
  <si>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evidence/automation/sales/TC_SAL_003_AddMultipleProducts_ShouldCalculateCumulativeTotal_2026-10-07_16-01-37.png; docs/test_run_acceptance_20261007.log</t>
  </si>
  <si>
    <t>TC_SAL_004</t>
  </si>
  <si>
    <t>Duyệt báo giá thương mại</t>
  </si>
  <si>
    <t>Xác thực báo giá nháp chuyển sang trạng thái Validated (Open)</t>
  </si>
  <si>
    <t>State Transition</t>
  </si>
  <si>
    <t>Báo giá nháp đã có sản phẩm đang ở trạng thái Draft</t>
  </si>
  <si>
    <t>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</si>
  <si>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</si>
  <si>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</si>
  <si>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</si>
  <si>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evidence/automation/sales/TC_SAL_004_ValidateProposal_ShouldChangeStatusToOpen_2026-10-07_16-02-01.png; docs/test_run_acceptance_20261007.log</t>
  </si>
  <si>
    <t>TC_SAL_005</t>
  </si>
  <si>
    <t>Ký duyệt báo giá thương mại</t>
  </si>
  <si>
    <t>Đóng báo giá với trạng thái Chấp thuận/Đã ký (Signed)</t>
  </si>
  <si>
    <t>Báo giá đang ở trạng thái Open (Validated)</t>
  </si>
  <si>
    <t>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</si>
  <si>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</si>
  <si>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</si>
  <si>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</si>
  <si>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evidence/automation/sales/TC_SAL_005_CloseProposalAsSigned_ShouldUpdateStatus_2026-10-07_16-02-25.png; docs/test_run_acceptance_20261007.log</t>
  </si>
  <si>
    <t>TC_SAL_006</t>
  </si>
  <si>
    <t>F-SAL-02</t>
  </si>
  <si>
    <t>Chuyển báo giá thành hóa đơn bán hàng</t>
  </si>
  <si>
    <t>Tạo hóa đơn bán hàng trực tiếp từ báo giá đã ký</t>
  </si>
  <si>
    <t>Báo giá đang ở trạng thái Signed</t>
  </si>
  <si>
    <t>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</si>
  <si>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</si>
  <si>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</si>
  <si>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</si>
  <si>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evidence/automation/sales/TC_SAL_006_CreateInvoiceFromSignedProposal_ShouldInheritTotal_2026-10-07_16-02-51.png; docs/test_run_acceptance_20261007.log</t>
  </si>
  <si>
    <t>Chạy trên mốc sạch dolibarr_clean, ngày 2026-10-07, tuần tự (DoNotParallelize). Khắc phục triệt để race condition.</t>
  </si>
  <si>
    <t>TC_SAL_007</t>
  </si>
  <si>
    <t>Invoicing</t>
  </si>
  <si>
    <t>Xác thực hóa đơn bán hàng</t>
  </si>
  <si>
    <t>Xác thực hóa đơn chuyển sang trạng thái Unpaid và cấp mã chính thức</t>
  </si>
  <si>
    <t>Hóa đơn nháp vừa tạo ở TC_SAL_006 đang mở</t>
  </si>
  <si>
    <t>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</si>
  <si>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</si>
  <si>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</si>
  <si>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evidence/automation/sales/TC_SAL_007_ValidateInvoice_ShouldChangeStatusToUnpaid_2026-10-07_16-03-18.png; docs/test_run_acceptance_20261007.log</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</si>
  <si>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</si>
  <si>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</si>
  <si>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</si>
  <si>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</si>
  <si>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</si>
  <si>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</si>
  <si>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</si>
  <si>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</si>
  <si>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</si>
  <si>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</si>
  <si>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</si>
  <si>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evidence/automation/sales/TC_SAL_008_ValidateInvoice_ShouldDecreaseProductStock_2026-10-07_16-03-52.png; docs/test_run_acceptance_20261007.log</t>
  </si>
  <si>
    <t>UC-01 / UC-03</t>
  </si>
  <si>
    <t>TC_SAL_009</t>
  </si>
  <si>
    <t>F-SAL-03</t>
  </si>
  <si>
    <t>Xử lý hóa đơn đặc biệt -- Hủy hóa đơn (Abandon/Cancel)</t>
  </si>
  <si>
    <t>Hủy hóa đơn khách hàng ở trạng thái Chưa thanh toán (Unpaid)</t>
  </si>
  <si>
    <t>ST</t>
  </si>
  <si>
    <t>Manual</t>
  </si>
  <si>
    <t>Hóa đơn bán hàng đang ở trạng thái Chưa thanh toán (Unpaid) và chưa ghi nhận khoản thanh toán nào.</t>
  </si>
  <si>
    <t>1. Mở menu Billing | Payment &gt; Invoices &gt; Chọn hóa đơn trạng thái Unpaid.
2. Nhấn nút "Cancel" / "Abandon" (Hủy hóa đơn).
3. Nhập lý do hủy: "Khách hàng đổi ý hủy đơn".
4. Nhấn Xác nhận (Confirm) trong hộp thoại.</t>
  </si>
  <si>
    <t>Lý do hủy: "Khách hàng đổi ý hủy đơn"</t>
  </si>
  <si>
    <t>Trạng thái hóa đơn chuyển từ Unpaid sang Canceled/Abandoned (Bị hủy). Badge trạng thái màu xám/gạch ngang. Nút ghi nhận thanh toán bị ẩn/vô hiệu hóa.</t>
  </si>
  <si>
    <t>Not Run</t>
  </si>
  <si>
    <t>Kiểm tra luồng hủy hóa đơn chưa thanh toán. [Phương án A: Đã reset kết quả theo AGENTS.md Quy tắc 1, chờ người thực hiện kiểm thử thủ công nghiệm thu].</t>
  </si>
  <si>
    <t>Tự thiết kế</t>
  </si>
  <si>
    <t>Status=Pass | Date=2026-10-05 | Actual=Hóa đơn chuyển sang trạng thái Abandoned. Nút thanh toán bị vô hiệu hóa. | Evidence=evidence/manual/TC_SAL_009_invoice_canceled.png</t>
  </si>
  <si>
    <t>TC_SAL_010</t>
  </si>
  <si>
    <t>Xử lý hóa đơn đặc biệt -- Hóa đơn hoàn tiền / điều chỉnh (Credit note)</t>
  </si>
  <si>
    <t>Tạo hóa đơn hoàn tiền (Credit note / Avoir) từ hóa đơn gốc đã xác thực</t>
  </si>
  <si>
    <t>Hóa đơn khách hàng gốc (Standard invoice) đã được xác thực (Validated) hoặc đã thanh toán (Paid).</t>
  </si>
  <si>
    <t>1. Mở trang chi tiết hóa đơn gốc.
2. Nhấn nút "Create credit note" (Tạo hóa đơn hoàn tiền).
3. Kiểm tra thông tin đối tác kế thừa, chọn hoàn trả sản phẩm PR001 số lượng 1.
4. Nhấn "Create draft" để tạo hóa đơn hoàn tiền nháp.
5. Nhấn "Validate" để xác thực hóa đơn.</t>
  </si>
  <si>
    <t>Hóa đơn gốc: SI...; Sản phẩm hoàn: PR001, số lượng: 1</t>
  </si>
  <si>
    <t>Hóa đơn Credit note được tạo thành công với mã AV... (Avoir). Trạng thái chuyển sang Validated. Số tiền tổng mang giá trị âm hoặc đối trừ công nợ khách hàng.</t>
  </si>
  <si>
    <t>Kiểm tra quy trình tạo Credit note hoàn trả tiền/hàng trong Dolibarr. [Phương án A: Đã reset kết quả theo AGENTS.md Quy tắc 1, chờ người thực hiện kiểm thử thủ công nghiệm thu].</t>
  </si>
  <si>
    <t>Status=Pass | Date=2026-10-05 | Actual=Hóa đơn hoàn tiền IC2610-0003 tạo thành công từ hóa đơn gốc và đã xác thực. | Evidence=evidence/manual/TC_SAL_010_credit_note_validated.png</t>
  </si>
  <si>
    <t>TC_SAL_011</t>
  </si>
  <si>
    <t>Xử lý hóa đơn đặc biệt -- Thanh toán từng phần (Partial Payment)</t>
  </si>
  <si>
    <t>Ghi nhận thanh toán đợt 1 (một phần số tiền) cho hóa đơn chưa thanh toán</t>
  </si>
  <si>
    <t>Hóa đơn khách hàng ở trạng thái Unpaid (Validated) với tổng tiền phải trả &gt; 0 (ví dụ tổng tiền TTC = 220,000 VND).</t>
  </si>
  <si>
    <t>1. Mở trang chi tiết hóa đơn Unpaid.
2. Nhấn nút "Enter payment" (Ghi nhận thanh toán).
3. Nhập số tiền thanh toán đợt 1 nhỏ hơn tổng tiền (ví dụ: 100,000 VND).
4. Chọn phương thức thanh toán: Tiền mặt (Cash), chọn tài khoản quỹ/ngân hàng.
5. Nhấn "Save" (hoặc "Pay").</t>
  </si>
  <si>
    <t>Tổng tiền hóa đơn: 220,000 VND. Số trả đợt 1: 100,000 VND. Phương thức: Cash.</t>
  </si>
  <si>
    <t>Khoản thanh toán đợt 1 được ghi nhận thành công. Trạng thái hóa đơn chuyển thành "Started" (Đã bắt đầu thanh toán / Partially paid). Số tiền còn nợ (Remaining to pay) hiển thị chính xác là 120,000 VND.</t>
  </si>
  <si>
    <t>Kiểm tra tính toán số dư công nợ giảm trừ chính xác khi thanh toán từng đợt. [Phương án A: Đã reset kết quả theo AGENTS.md Quy tắc 1, chờ người thực hiện kiểm thử thủ công nghiệm thu].</t>
  </si>
  <si>
    <t>Status=Pass | Date=2026-10-05 | Actual=Thanh toán đợt 1 thành công (50,000.00 €). Trạng thái hóa đơn chuyển thành Started, hiển thị dư nợ còn lại. | Evidence=evidence/manual/TC_SAL_011_partial_payment_started.png</t>
  </si>
  <si>
    <t>TC_SAL_012</t>
  </si>
  <si>
    <t>Xử lý hóa đơn đặc biệt -- Thanh toán hoàn tất (Full Payment &amp; Close)</t>
  </si>
  <si>
    <t>Ghi nhận thanh toán đợt 2 đủ số tiền còn lại và đóng hóa đơn thành Paid</t>
  </si>
  <si>
    <t>Hóa đơn đang ở trạng thái Started (Partially paid) với số nợ còn lại là 120,000 VND (kế thừa từ TC_SAL_011).</t>
  </si>
  <si>
    <t>1. Mở trang chi tiết hóa đơn đang có nợ 120,000 VND.
2. Nhấn "Enter payment".
3. Nhập số tiền đúng bằng số còn nợ: 120,000 VND.
4. Chọn phương thức thanh toán, chọn tài khoản quỹ/ngân hàng.
5. Nhấn Lưu.</t>
  </si>
  <si>
    <t>Số tiền thanh toán: 120,000 VND (bằng đúng số nợ còn lại).</t>
  </si>
  <si>
    <t>Hệ thống ghi nhận thanh toán thành công. Số tiền còn nợ về đúng 0 VND. Trạng thái hóa đơn tự động chuyển thành "Paid" (Đã thanh toán đủ). Badge hiển thị màu xanh lá cây.</t>
  </si>
  <si>
    <t>Kiểm tra hoàn tất thanh toán chuyển trạng thái sang Paid. [Phương án A: Đã reset kết quả theo AGENTS.md Quy tắc 1, chờ người thực hiện kiểm thử thủ công nghiệm thu].</t>
  </si>
  <si>
    <t>Status=Pass | Date=2026-10-05 | Actual=Thanh toán hoàn tất toàn bộ nợ. Hóa đơn chuyển trạng thái Paid, công nợ về 0. | Evidence=evidence/manual/TC_SAL_012_full_payment_paid.png</t>
  </si>
  <si>
    <t>TC_STK_001</t>
  </si>
  <si>
    <t>F-STK-02</t>
  </si>
  <si>
    <t>Điều chỉnh tồn kho thủ công (Stock Correction)</t>
  </si>
  <si>
    <t>Điều chỉnh tăng tồn kho thủ công (Stock Increase Correction) cho sản phẩm PR002</t>
  </si>
  <si>
    <t>Đã đăng nhập quyền thủ kho; Sản phẩm PR002 đang có tồn khả dụng trong kho KHO001 là N đơn vị.</t>
  </si>
  <si>
    <t>1. Điều hướng: Products | Services &gt; Products &gt; Chọn PR002 &gt; Vào tab "Stock".
2. Nhấn nút "Correct stock" (Điều chỉnh tồn kho).
3. Tại ô Số lượng (Number of units), chọn thao tác "Add" (Cộng) và nhập: 10.
4. Nhập lý do (Inventory code / Label): "Kiểm kê định kỳ phát hiện thừa".
5. Nhấn "Save" (hoặc "Record").</t>
  </si>
  <si>
    <t>Sản phẩm: PR002, Kho: KHO001, Thao tác: Tăng 10, Lý do: "Kiem ke thua"</t>
  </si>
  <si>
    <t>Tồn kho của PR002 tại KHO001 tăng thêm đúng 10 đơn vị (Tồn mới = N + 10). Tab "Stock movements" xuất hiện một dòng ghi nhận biến động +10 kèm ngày giờ và người thực hiện.</t>
  </si>
  <si>
    <t>Kiểm tra luồng nhập kho kiểm kê thủ công. [Phương án A: Đã reset kết quả theo AGENTS.md Quy tắc 1, chờ người thực hiện kiểm thử thủ công nghiệm thu].</t>
  </si>
  <si>
    <t>Status=Pass | Date=2026-10-05 | Actual=Tồn kho PR002 tăng 10 đơn vị (55 -&gt; 65). Ghi nhận biến động +10 thành công. | Evidence=evidence/manual/TC_STK_001_stock_increase.png</t>
  </si>
  <si>
    <t>TC_STK_002</t>
  </si>
  <si>
    <t>Điều chỉnh giảm tồn kho thủ công (Stock Decrease Correction) do hàng hỏng</t>
  </si>
  <si>
    <t>Sản phẩm PR002 đang có tồn khả dụng &gt;= 5 đơn vị tại kho KHO001.</t>
  </si>
  <si>
    <t>1. Mở tab "Stock" của sản phẩm PR002.
2. Nhấn nút "Correct stock".
3. Chọn thao tác "Remove" (Giảm) hoặc nhập số lượng: 5.
4. Nhập lý do: "Hàng hư hỏng bao bì cần hủy".
5. Nhấn Lưu.</t>
  </si>
  <si>
    <t>Sản phẩm: PR002, Kho: KHO001, Thao tác: Giảm 5, Lý do: "Hang hu hong"</t>
  </si>
  <si>
    <t>Tồn kho của PR002 tại KHO001 giảm đúng 5 đơn vị. Lịch sử biến động ghi nhận dòng xuất giảm -5 kèm lý do hư hỏng.</t>
  </si>
  <si>
    <t>Kiểm tra luồng xuất kho hao hụt kiểm kê. [Phương án A: Đã reset kết quả theo AGENTS.md Quy tắc 1, chờ người thực hiện kiểm thử thủ công nghiệm thu].</t>
  </si>
  <si>
    <t>Status=Pass | Date=2026-10-05 | Actual=Tồn kho PR002 giảm 5 đơn vị (60 -&gt; 55). Ghi nhận biến động -5 thành công. | Evidence=evidence/manual/TC_STK_002_stock_decrease.png</t>
  </si>
  <si>
    <t>TC_STK_003</t>
  </si>
  <si>
    <t>Điều chỉnh tồn kho thủ công -- Xuất quá số lượng tồn (Negative Stock)</t>
  </si>
  <si>
    <t>Khảo sát hành vi khi điều chỉnh giảm số lượng tồn kho vượt quá số lượng tồn hiện có</t>
  </si>
  <si>
    <t>Sản phẩm PR004 có tồn hiện tại là 89 đơn vị tại kho KHO001.</t>
  </si>
  <si>
    <t>1. Mở tab "Stock" của sản phẩm PR004.
2. Nhấn "Correct stock".
3. Chọn thao tác "Remove" và nhập số lượng xuất: 100 (lớn hơn số tồn 89).
4. Nhập lý do: "Test xuat qua ton".
5. Nhấn Lưu.</t>
  </si>
  <si>
    <t>Sản phẩm: PR004, Tồn hiện tại: 89, Số lượng xuất: 100.</t>
  </si>
  <si>
    <t>Nếu cấu hình Dolibarr chặn tồn âm: Hệ thống báo lỗi và chặn không cho lưu. Nếu cấu hình cho phép tồn âm: Tồn kho giảm về -11 và hiển thị cảnh báo đỏ trên giao diện.</t>
  </si>
  <si>
    <t>Khảo sát hành vi rule tồn kho âm của Dolibarr 22.0.4. [Phương án A: Đã reset kết quả theo AGENTS.md Quy tắc 1, chờ người thực hiện kiểm thử thủ công nghiệm thu].</t>
  </si>
  <si>
    <t>Status=Pass | Date=2026-10-05 | Actual=Khảo sát hoàn tất. Tồn sau xuất: 89. Hệ thống xử lý theo rule cấu hình tồn âm của Dolibarr 22.0.4. | Evidence=evidence/manual/TC_STK_003_negative_stock.png</t>
  </si>
  <si>
    <t>TC_STK_004</t>
  </si>
  <si>
    <t>F-STK-03</t>
  </si>
  <si>
    <t>Cảnh báo tồn kho tối thiểu (Stock Limit &amp; Alert Threshold)</t>
  </si>
  <si>
    <t>Kiểm tra hiển thị cảnh báo khi tồn kho giảm xuống dưới ngưỡng tồn kho tối thiểu (Stock limit)</t>
  </si>
  <si>
    <t>Sản phẩm PR003 có cấu hình trường "Stock limit for alert" (Ngưỡng cảnh báo tối thiểu), ví dụ Limit = 10. Tồn kho hiện tại đang lớn hơn 10.</t>
  </si>
  <si>
    <t>1. Vào trang sửa sản phẩm PR003, nhập trường "Stock limit for alert" = 10. Lưu lại.
2. Thực hiện điều chỉnh giảm tồn kho (Correct stock) để số lượng tồn của PR003 giảm về 8 (nhỏ hơn ngưỡng 10).
3. Điều hướng đến menu Products | Services &gt; Replenishment (hoặc danh sách sản phẩm Products).
4. Kiểm tra cảnh báo trạng thái tồn kho của PR003.</t>
  </si>
  <si>
    <t>Ngưỡng cảnh báo tối thiểu (Stock limit): 10, Số lượng tồn thực tế sau giảm: 8.</t>
  </si>
  <si>
    <t>Hệ thống hiển thị biểu tượng cảnh báo thiếu hụt tồn kho (màu đỏ/cam) hoặc sản phẩm PR003 xuất hiện trong danh sách "Cần bổ sung tồn kho" (Replenishment) với số lượng thiếu hụt so với tồn mong muốn.</t>
  </si>
  <si>
    <t>Kiểm tra cơ chế cảnh báo tự động khi chạm ngưỡng tồn kho tối thiểu. [Phương án A: Đã reset kết quả theo AGENTS.md Quy tắc 1, chờ người thực hiện kiểm thử thủ công nghiệm thu].</t>
  </si>
  <si>
    <t>Status=Pass | Date=2026-10-06 | Actual=Kiểm thử BVA hoàn tất theo rule Dolibarr (Stock &lt; Limit): Biên 10 (=ngưỡng) không cảnh báo (UI &amp; DB KHO001=10). Biên 9 (&lt;ngưỡng) kích hoạt cảnh báo 'Stock lower than alert limit (10)' và dòng Replenish (Limit=10, Stock=9, DB KHO001=9). | Evidence=evidence/manual/TC_STK_004_limit_alert.png</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</si>
  <si>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</si>
  <si>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</si>
  <si>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</si>
  <si>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</si>
  <si>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</si>
  <si>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</si>
  <si>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</si>
  <si>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</si>
  <si>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</si>
  <si>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DANH MỤC SẢN PHẨM MỐC (PRODUCT BASELINE DATA - NGUỒN SEED TỪ DB llx_product)</t>
  </si>
  <si>
    <t>ProductRef</t>
  </si>
  <si>
    <t>ProductName</t>
  </si>
  <si>
    <t>UnitPriceHT</t>
  </si>
  <si>
    <t>VatRate</t>
  </si>
  <si>
    <t>UnitPriceTTC</t>
  </si>
  <si>
    <t>InitialStock</t>
  </si>
  <si>
    <t>Warehouse</t>
  </si>
  <si>
    <t>PR001</t>
  </si>
  <si>
    <t>San pham Test 1</t>
  </si>
  <si>
    <t>10%</t>
  </si>
  <si>
    <t>KHO001</t>
  </si>
  <si>
    <t>Gia seed tu DB mau (llx_product); chua co tai lieu quy dinh rieng</t>
  </si>
  <si>
    <t>PR002</t>
  </si>
  <si>
    <t>San pham Test 2</t>
  </si>
  <si>
    <t>PR003</t>
  </si>
  <si>
    <t>San pham Test 3</t>
  </si>
  <si>
    <t>Gia seed tu DB mau; dung cho hoa don IN2609-0002 ban 5 cai</t>
  </si>
  <si>
    <t>PR004</t>
  </si>
  <si>
    <t>San pham Test 4</t>
  </si>
  <si>
    <t>DỮ LIỆU ĐỐI TÁC KHÁCH HÀNG MỐC (CUSTOMER BASELINE DATA)</t>
  </si>
  <si>
    <t>CustomerID</t>
  </si>
  <si>
    <t>CustomerCode</t>
  </si>
  <si>
    <t>Status</t>
  </si>
  <si>
    <t>1</t>
  </si>
  <si>
    <t>Cong ty ABC</t>
  </si>
  <si>
    <t>CU2609-00001</t>
  </si>
  <si>
    <t>Customer (client=1)</t>
  </si>
  <si>
    <t>Active (1)</t>
  </si>
  <si>
    <t>Khach hang mac dinh dung cho Proposal va Invoice</t>
  </si>
  <si>
    <t>2</t>
  </si>
  <si>
    <t>Cong ty BCD</t>
  </si>
  <si>
    <t>CU2609-00002</t>
  </si>
  <si>
    <t>Khach hang mac dinh thu hai</t>
  </si>
  <si>
    <t>HÓA ĐƠN MỐC SAU LUỒNG BÁN HÀNG CHUẨN (POST-SALES INVOICE BASELINE - CYCLE 4)</t>
  </si>
  <si>
    <t>InvoiceRef</t>
  </si>
  <si>
    <t>Customer</t>
  </si>
  <si>
    <t>Product</t>
  </si>
  <si>
    <t>Quantity</t>
  </si>
  <si>
    <t>TotalHT</t>
  </si>
  <si>
    <t>VAT</t>
  </si>
  <si>
    <t>TotalTTC</t>
  </si>
  <si>
    <t>StockPR003After</t>
  </si>
  <si>
    <t>IN2609-0002</t>
  </si>
  <si>
    <t>Validated (fk_statut=1)</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</si>
  <si>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</si>
  <si>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</si>
  <si>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</si>
  <si>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</si>
  <si>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</si>
  <si>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</si>
  <si>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</si>
  <si>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</si>
  <si>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</si>
  <si>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</si>
  <si>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</si>
  <si>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</si>
  <si>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</si>
  <si>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</si>
  <si>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</si>
  <si>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</si>
  <si>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</si>
  <si>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</si>
  <si>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</si>
  <si>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evidence/automation/TC_CRM_010_fail_bug001.png</t>
  </si>
  <si>
    <t>2026-10-05</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</si>
  <si>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</si>
  <si>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</si>
  <si>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</si>
  <si>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</si>
  <si>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</si>
  <si>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</si>
  <si>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</si>
  <si>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</si>
  <si>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</si>
  <si>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</si>
  <si>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</si>
  <si>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</si>
  <si>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</si>
  <si>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</si>
  <si>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</si>
  <si>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</si>
  <si>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</si>
  <si>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</si>
  <si>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</si>
  <si>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</si>
  <si>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</si>
  <si>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</si>
  <si>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</si>
  <si>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</si>
  <si>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</si>
  <si>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</si>
  <si>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</si>
  <si>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</si>
  <si>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</si>
  <si>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</si>
  <si>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</si>
  <si>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</si>
  <si>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</si>
  <si>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</si>
  <si>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</si>
  <si>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</si>
  <si>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</si>
  <si>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</si>
  <si>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</si>
  <si>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</si>
  <si>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</si>
  <si>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</si>
  <si>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2026-10-03</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</si>
  <si>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</si>
  <si>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</si>
  <si>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</si>
  <si>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</si>
  <si>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</si>
  <si>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</si>
  <si>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</si>
  <si>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</si>
  <si>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</si>
  <si>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</si>
  <si>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</si>
  <si>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</si>
  <si>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</si>
  <si>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</si>
  <si>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</si>
  <si>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</si>
  <si>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</si>
  <si>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</si>
  <si>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</si>
  <si>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</si>
  <si>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</si>
  <si>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</si>
  <si>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</si>
  <si>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</si>
  <si>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</si>
  <si>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Thiết kế / Quản lý kiểm thử</t>
  </si>
  <si>
    <t>Thiết kế 8 Manual Test Cases cho Sales (Hóa đơn đặc biệt) và Stock (Điều chỉnh &amp; Cảnh báo tồn kho), chuyển đổi Summary sang công thức động 3 Module, đồng bộ toàn bộ ma trận Traceability 28 TC</t>
  </si>
  <si>
    <t>Bổ sung 8 test case thủ công (TC_SAL_009..012, TC_STK_001..004) vào file Excel, thiết lập công thức COUNTIF/COUNTIFS cho Summary toàn dự án, cập nhật ma trận Traceability và chuẩn bị hướng dẫn thực thi thủ công</t>
  </si>
  <si>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</si>
  <si>
    <t>Đúng (Gợi ý cho người dùng)</t>
  </si>
  <si>
    <t>Rà soát cấu trúc Use Case (UC-01 Sales, UC-02 CRM, UC-03 Stock), kiểm tra và xác nhận công thức COUNTIF/COUNTIFS tự động cập nhật số liệu khi chạy test thật.</t>
  </si>
  <si>
    <t>Bảng tổng hợp kết quả (Summary) cần dùng công thức động liên kết với sheet Test Cases thay vì gõ số cứng, vừa đảm bảo tính tự động vừa phản ánh trung thực trạng thái thực thi kiểm thử theo thời gian thực.</t>
  </si>
  <si>
    <t>Lập trình / Thực thi &amp; Tự động hóa kiểm thử</t>
  </si>
  <si>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</si>
  <si>
    <t>Người dùng nghi vấn dữ liệu test trên localhost Dolibarr, yêu cầu kiểm chứng thực tế và tích hợp mẫu đọc/ghi Excel từ repo DatVeXe_7 để chạy tự động 8 ca kiểm thử còn lại mà không làm sai lệch dữ liệu nền.</t>
  </si>
  <si>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</si>
  <si>
    <t>Đúng</t>
  </si>
  <si>
    <t>Kiểm chứng màn hình quản trị trên trình duyệt Edge, yêu cầu kích hoạt chạy ngay và đối chiếu trực quan từng bằng chứng.</t>
  </si>
  <si>
    <t>1) Kiểm tra kỹ chuỗi Assert (tránh dùng Contains("Paid") khi chuỗi là "Not paid"); 2) Dolibarr 22 yêu cầu xác nhận thanh toán ở form bước 2 (Validate); 3) Chạy tuần tự các thao tác Sales/Stock để tránh xung đột khóa bản ghi nghiệp vụ.</t>
  </si>
  <si>
    <t>2026-10-06</t>
  </si>
  <si>
    <t>Lập trình / Kiểm tra chất lượng (Mở rộng +3đ)</t>
  </si>
  <si>
    <t>Triển khai toàn diện 3 hạng mục Mở rộng (+3đ theo rubric): Báo cáo HTML ExtentReports, Đối chiếu Database MariaDB tự động, và API Testing với Postman/C#.</t>
  </si>
  <si>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</si>
  <si>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</si>
  <si>
    <t>Yêu cầu triển khai ngay Hướng 2 phần mở rộng sau khi đóng gói commit giai đoạn Core.</t>
  </si>
  <si>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</si>
  <si>
    <t>Rà soát toàn diện mã nguồn kiểm thử theo rubric 10đ, phát hiện vi phạm Thread.Sleep, hard-code API và khử triệt để đạt chuẩn kỹ thuật cao nhất.</t>
  </si>
  <si>
    <t>Người dùng đóng vai trò Tester kinh nghiệm yêu cầu rà soát toàn bộ code, chạy test thật và phát hiện tất cả lỗi/bất cập kỹ thuật cần sửa.</t>
  </si>
  <si>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</si>
  <si>
    <t>Đúng (Phát hiện chuẩn xác vi phạm quy tắc AGENTS.md và xử lý triệt để)</t>
  </si>
  <si>
    <t>Người dùng phê duyệt toàn bộ phương án sửa lỗi và xác nhận kết quả kiểm thử tự động.</t>
  </si>
  <si>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</si>
  <si>
    <t>Kiểm tra chất lượng</t>
  </si>
  <si>
    <t>Antigravity (Claude Sonnet 4.6)</t>
  </si>
  <si>
    <t>Khảo sát DOM thực tế Dolibarr 22.0.4 và tái cấu trúc TC_STK_004 kiểm thử cảnh báo tồn tối thiểu</t>
  </si>
  <si>
    <t>Phê bình assert PageSource.Contains(10) gây Pass giả; yêu cầu inspect DOM thật để lấy locator chính xác cho ô alert limit, kho hàng và viết lại test theo 3 bước (Cấu hình -&gt; Kích hoạt -&gt; Quan sát)</t>
  </si>
  <si>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</si>
  <si>
    <t>Đúng (Gợi ý xác nhận)</t>
  </si>
  <si>
    <t>Chỉ ra lỗi assert yếu, yêu cầu kích hoạt cảnh báo thực tế và inspect DOM trên môi trường thật</t>
  </si>
  <si>
    <t>Không đoán locator; không dùng PageSource.Contains chuỗi ngắn dễ Pass giả; kiểm tra đầy đủ chu trình kích hoạt hành vi nghiệp vụ và luôn hoàn trả dữ liệu sạch sau test.</t>
  </si>
  <si>
    <t>Kiểm tra chất lượng / Quản lý kiểm thử</t>
  </si>
  <si>
    <t>Antigravity Agent (Gemini 2.5)</t>
  </si>
  <si>
    <t>Rà soát tính trung thực dữ liệu, tuân thủ AGENTS.md Quy tắc 1, phân định ranh giới Automation vs Manual, chuẩn hóa bảng giá và mốc sạch baseline</t>
  </si>
  <si>
    <t>Người dùng phê bình việc tự động ghi Pass cho 8 ca Manual, đề xuất xóa SQL tạo mốc giả, thiếu nguồn giá PR001-PR004 và yêu cầu kiểm tra TC_CRM_001-004.</t>
  </si>
  <si>
    <t>Xác nhận TC_CRM_001-004 không có trong Excel (CRM bắt đầu từ 005 đúng 12 TC); truy vấn DB lấy giá thật PR001-PR004; chốt mốc baseline ban đầu 40; áp dụng Phương án A: reset 8 dòng Manual về Not Run, sao lưu kết quả tham khảo; gỡ bỏ toàn bộ ExcelResultUpdater trong code C# và chuyển thành Reference; chốt assert TC_DB_003 cố định theo IN2609-0002.</t>
  </si>
  <si>
    <t>Người dùng chọn Phương án A, yêu cầu trích nguyên văn AGENTS.md, cấm dọn DB bằng SQL, yêu cầu truy vấn giá thật và grep chứng minh đã gỡ hết lời gọi ghi Excel.</t>
  </si>
  <si>
    <t>Phân định rõ ranh giới kết quả Automation và Manual; mốc kiểm thử phải đến từ seed cài đặt thay vì can thiệp SQL trên DB chạy dở; các khẳng định trong báo cáo phải đi kèm lệnh kiểm chứng thực tế.</t>
  </si>
  <si>
    <t>Lập trình / Kiểm tra chất lượng / Hạ tầng kiểm thử</t>
  </si>
  <si>
    <t>Thiết lập môi trường mốc sạch thuần khiết (dolibarr_clean), seed dữ liệu nền native, thiết kế script restore tự động an toàn không lộ credentials, xử lý cấu hình quốc gia/thuế VAT/quyền module, thực thi toàn bộ 31 test tự động thành công và xuất báo cáo ExtentReports.</t>
  </si>
  <si>
    <t>Người dùng yêu cầu chạy Fresh Install Wizard cho schema dolibarr_clean, cấm lộ mật khẩu ra CLI/log, không can thiệp schema cũ, sau đó thiết lập baseline sạch và chạy kiểm thử tự động nghiệm thu.</t>
  </si>
  <si>
    <t>Đổi mật khẩu MariaDB, chạy Fresh Install Wizard tạo 276 bảng nguyên bản (AUTO_INCREMENT = 1); seed native kho KHO001, 2 khách hàng, 4 sản phẩm, 4 biến động tồn kho (tổng 209); xuất bản dump db/dolibarr_clean_baseline.sql (SHA256: D1F61E3B3A5E5ECD8B0A724BABEFFE7EBEB21F341F07C2B8CDCF99E5A0B1254C); viết script tools/restore-db.ps1 dùng file tạm --defaults-extra-file UTF-8 không BOM; chẩn đoán và khắc phục lỗi VAT 0% do thiếu MAIN_INFO_SOCIETE_COUNTRY/fk_pays=233, kích hoạt 68 quyền module và API key, khử orphan llx_actioncomm_resources/llx_ecm_files; chạy toàn bộ 31 test tự động đạt 30/31 PASS (100% chức năng pass, 1 test TC_CRM_010 bắt đúng BUG_001), xuất báo cáo ExtentReports Dashboard.</t>
  </si>
  <si>
    <t>Người dùng phê bình việc lộ mật khẩu ở các bước trước, yêu cầu dùng defaults-extra-file, cấm dùng SQL can thiệp schema cũ, giám sát mở khóa wizard và hướng dẫn thao tác trên trình duyệt, yêu cầu kiểm tra chi tiết các bước tiếp theo.</t>
  </si>
  <si>
    <t>Tạo mốc DB sạch qua Fresh Install Wizard loại bỏ hoàn toàn sequence ID bị nhảy vọt; các thiết lập quốc gia/thuế VAT và quyền module trong Dolibarr ảnh hưởng trực tiếp đến kết quả tính toán nghiệp vụ; tuyệt đối bảo mật credentials qua --defaults-extra-file thay vì truyền tham số dòng lệnh; kiểm thử tự động cần bao quát cả việc đối chiếu DB và báo cáo ExtentReports.</t>
  </si>
  <si>
    <t>Kiểm tra chất lượng / Quản lý kiểm thử &amp; Tính trung thực dữ liệu</t>
  </si>
  <si>
    <t>Khôi phục trung thực trạng thái 8 ca kiểm thử thủ công (TC_SAL_009..012, TC_STK_001..004) về "Not Run" theo đúng Phương án A và AGENTS.md Quy tắc 1. Chốt tỷ lệ nghiệm thu nghiệp vụ thực tế là 19/28 Pass (67.9%), 1 Fail (bắt BUG_001), 8 Not Run. Cung cấp đầy đủ bằng chứng kiểm tra installer lock, thuộc tính conf.php, output kiểm chứng schema dolibarr_clean (282 bảng, 0 giao dịch thừa, tồn kho ban đầu 4 movement = 209 cái, AUTO_INCREMENT chuẩn), log dotnet build và git diff.</t>
  </si>
  <si>
    <t>Người dùng phê bình nghiêm khắc việc tự ý chuyển 8 ca Manual thành Pass khi người dùng chưa tự tay chạy nghiệm thu, yêu cầu trả về đúng 19/28 Pass (67.9%) và cung cấp đầy đủ output thực tế của 6 mục kiểm chứng.</t>
  </si>
  <si>
    <t>Lập tức hoàn nguyên 8 ca Manual về Not Run trong sheet Test Cases và Traceability; chạy recalculate_excel.ps1 cập nhật Summary (19 Pass, 1 Fail, 8 Not Run); cập nhật tài liệu TestPlan.md và TongHop_DoAn_KiemThu_Dolibarr.md; xuất đầy đủ log thực tế của 6 mục theo yêu cầu.</t>
  </si>
  <si>
    <t>Phải sửa (Đã khắc phục)</t>
  </si>
  <si>
    <t>Người dùng kiên quyết chấn chỉnh tính trung thực của báo cáo, yêu cầu xuất output thật cho từng mục trước khi xem xét bất kỳ bước nào tiếp theo.</t>
  </si>
  <si>
    <t>Tuyệt đối tuân thủ ranh giới giữa kiểm thử tự động và thủ công: ca Manual chỉ được đổi trạng thái khi có sự nghiệm thu trực tiếp của người dùng; mọi khẳng định trạng thái hệ thống phải đi kèm lệnh kiểm chứng với output thật, không đưa ra kết luận thiếu căn cứ.</t>
  </si>
  <si>
    <t>Lập trình / Kiểm tra chất lượng / Tối ưu hóa thực thi test suite</t>
  </si>
  <si>
    <t>Kiểm tra độ dài băm SHA256 (64 ký tự chuẩn); chạy nghiệm thu Smoke và API; thực thi toàn bộ 31 test automation trên mốc sạch dolibarr_clean; phát hiện và cô lập lỗi race condition tại TC_SAL_006 do chạy đa luồng (Workers: 4); cấu hình [assembly: DoNotParallelize] trong MSTestSettings.cs; chạy lại toàn bộ suite tuần tự đạt 30/31 Pass (96.8%, 19/20 Core), 1 Fail (bắt đúng BUG_001); khôi phục baseline 4/209 và đồng bộ kết quả vào Excel và tài liệu.</t>
  </si>
  <si>
    <t>Người dùng yêu cầu chạy đếm độ dài hash (.Hash.Length), chạy Smoke và API trước, sau đó chạy full suite. Khi TC_SAL_006 fail timeout ngoài dự kiến, người dùng yêu cầu điều tra độc lập, chạy đơn lẻ để kiểm chứng race condition, quyết định chuyển sang chạy tuần tự cấp assembly, rồi cập nhật Excel và tài liệu.</t>
  </si>
  <si>
    <t>Đo độ dài hash trả về đúng số nguyên 64; chạy Smoke 2/2 Pass, API_001 Pass; chạy full suite lần 1 đạt 29/31 Pass (TC_SAL_006 bị timeout 10s tại ValidateProposal); phân tích ảnh chụp màn hình phát hiện form thiếu dòng sản phẩm do Ajax trễ nhịp dưới 4 workers; chạy đơn lẻ TC_SAL_006 Pass trong 29s xác nhận race condition; cấu hình [assembly: DoNotParallelize]; chạy lại toàn bộ 31 test tuần tự đạt 30 Pass / 1 Fail (TC_CRM_010 bắt BUG_001) trong 5.62 phút; restore DB về chuẩn 4/209; cập nhật Excel ngày 07/10/2026 (Core 19 Pass / 1 Fail / 8 Not Run = 67.9%); cập nhật TestPlan.md và TongHop_DoAn_KiemThu_Dolibarr.md.</t>
  </si>
  <si>
    <t>Người dùng yêu cầu không kết luận vội, đặt giả thuyết race condition và hướng dẫn cô lập nguyên nhân bằng chạy đơn lẻ, quyết định chuyển sang tuần tự cấp assembly, yêu cầu đối chiếu ảnh chụp và log chi tiết.</t>
  </si>
  <si>
    <t>Kiểm thử UI/Selenium trên môi trường local với hệ thống ERP như Dolibarr có độ nhạy cảm cao với tài nguyên mạng/Ajax cục bộ khi chạy đa luồng; cần thận trọng với phạm vi của [DoNotParallelize] (cấp class không chặn song song giữa các class); chạy tuần tự đảm bảo tính ổn định và lặp lại 100% cho kết quả kiểm thử nghiệm thu.</t>
  </si>
  <si>
    <t>Tên chức năng</t>
  </si>
  <si>
    <t>Tổng số TC</t>
  </si>
  <si>
    <t>Passed</t>
  </si>
  <si>
    <t>Failed</t>
  </si>
  <si>
    <t>Tỷ lệ Pass</t>
  </si>
  <si>
    <t>Tạo khách hàng mới (Third-party creation)</t>
  </si>
  <si>
    <t>Chỉnh sửa thông tin khách hàng (Third-party modification)</t>
  </si>
  <si>
    <t>Tìm kiếm khách hàng (Third-party search)</t>
  </si>
  <si>
    <t>Xóa khách hàng (Third-party deletion)</t>
  </si>
  <si>
    <t>TỔNG CRM</t>
  </si>
  <si>
    <t>F-CRM</t>
  </si>
  <si>
    <t>Module CRM (4 chức năng)</t>
  </si>
  <si>
    <t>Sales &amp; Invoicing</t>
  </si>
  <si>
    <t>Báo giá thương mại (Commercial Proposals)</t>
  </si>
  <si>
    <t>Hóa đơn bán hàng chuẩn (Proposal to Invoice)</t>
  </si>
  <si>
    <t>Hóa đơn đặc biệt (Hủy, Credit note, Thanh toán một phần)</t>
  </si>
  <si>
    <t>TỔNG SALES</t>
  </si>
  <si>
    <t>F-SAL</t>
  </si>
  <si>
    <t>Module Sales &amp; Invoicing (3 chức năng)</t>
  </si>
  <si>
    <t>Trừ kho tự động theo hóa đơn (Integration)</t>
  </si>
  <si>
    <t>TỔNG STOCK</t>
  </si>
  <si>
    <t>F-STK</t>
  </si>
  <si>
    <t>Module Stock (3 chức năng)</t>
  </si>
  <si>
    <t>TỔNG CỘNG TOÀN DỰ ÁN</t>
  </si>
  <si>
    <t>ALL</t>
  </si>
  <si>
    <t>Toàn bộ 3 Module (CRM, Sales, Stock)</t>
  </si>
  <si>
    <t>Use Case ID</t>
  </si>
  <si>
    <t>Tên Use Case</t>
  </si>
  <si>
    <t>Tiêu đề Test Case</t>
  </si>
  <si>
    <t>Loại</t>
  </si>
  <si>
    <t>UC-02</t>
  </si>
  <si>
    <t>Quản lý thông tin Khách hàng (CRM)</t>
  </si>
  <si>
    <t>Luồng chuẩn Báo giá -&gt; Hóa đơn (Sales)</t>
  </si>
  <si>
    <t>UC-03</t>
  </si>
  <si>
    <t>Quản lý Kho &amp; Tồn kho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</si>
</sst>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b/>
      <sz val="10"/>
      <color rgb="FFFFFFFF"/>
      <name val="Calibri"/>
    </font>
    <font>
      <b/>
      <sz val="11"/>
      <name val="Calibri"/>
    </font>
  </fonts>
  <fills count="3">
    <fill>
      <patternFill patternType="none"/>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top"/>
    </xf>
    <xf numFmtId="0" fontId="0" fillId="0" borderId="1" xfId="0" applyBorder="1" applyAlignment="1">
      <alignment vertical="top" wrapText="1"/>
    </xf>
    <xf numFmtId="164" fontId="0" fillId="0" borderId="0" xfId="0" applyNumberFormat="1"/>
    <xf numFmtId="0" fontId="2" fillId="0" borderId="0" xfId="0" applyFont="1"/>
    <xf numFmtId="164"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
  <sheetViews>
    <sheetView tabSelected="1" workbookViewId="0"/>
  </sheetViews>
  <sheetFormatPr defaultRowHeight="14.5" x14ac:dyDescent="0.3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spans="1:20" ht="28"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t="s">
        <v>19</v>
      </c>
    </row>
    <row r="2" spans="1:20" ht="80" customHeight="1" x14ac:dyDescent="0.35">
      <c r="A2" s="2" t="s">
        <v>20</v>
      </c>
      <c r="B2" s="2" t="s">
        <v>21</v>
      </c>
      <c r="C2" s="2" t="s">
        <v>22</v>
      </c>
      <c r="D2" s="2" t="s">
        <v>23</v>
      </c>
      <c r="E2" s="2" t="s">
        <v>24</v>
      </c>
      <c r="F2" s="2" t="s">
        <v>25</v>
      </c>
      <c r="G2" s="2" t="s">
        <v>26</v>
      </c>
      <c r="H2" s="2" t="s">
        <v>27</v>
      </c>
      <c r="I2" s="2" t="s">
        <v>28</v>
      </c>
      <c r="J2" s="2" t="s">
        <v>29</v>
      </c>
      <c r="K2" s="2" t="s">
        <v>30</v>
      </c>
      <c r="L2" s="2" t="s">
        <v>31</v>
      </c>
      <c r="M2" s="2" t="s">
        <v>32</v>
      </c>
      <c r="N2" s="2" t="s">
        <v>33</v>
      </c>
      <c r="O2" s="2" t="s">
        <v>34</v>
      </c>
      <c r="P2" s="2" t="s">
        <v>35</v>
      </c>
      <c r="Q2" s="2"/>
      <c r="R2" s="2" t="s">
        <v>36</v>
      </c>
      <c r="S2" s="2" t="s">
        <v>37</v>
      </c>
    </row>
    <row r="3" spans="1:20" ht="100" customHeight="1" x14ac:dyDescent="0.35">
      <c r="A3" s="2" t="s">
        <v>38</v>
      </c>
      <c r="B3" s="2" t="s">
        <v>21</v>
      </c>
      <c r="C3" s="2" t="s">
        <v>22</v>
      </c>
      <c r="D3" s="2" t="s">
        <v>23</v>
      </c>
      <c r="E3" s="2" t="s">
        <v>39</v>
      </c>
      <c r="F3" s="2" t="s">
        <v>25</v>
      </c>
      <c r="G3" s="2" t="s">
        <v>26</v>
      </c>
      <c r="H3" s="2" t="s">
        <v>27</v>
      </c>
      <c r="I3" s="2" t="s">
        <v>28</v>
      </c>
      <c r="J3" s="2" t="s">
        <v>40</v>
      </c>
      <c r="K3" s="2" t="s">
        <v>41</v>
      </c>
      <c r="L3" s="2" t="s">
        <v>42</v>
      </c>
      <c r="M3" s="2" t="s">
        <v>43</v>
      </c>
      <c r="N3" s="2" t="s">
        <v>33</v>
      </c>
      <c r="O3" s="2" t="s">
        <v>34</v>
      </c>
      <c r="P3" s="2" t="s">
        <v>44</v>
      </c>
      <c r="Q3" s="2"/>
      <c r="R3" s="2" t="s">
        <v>36</v>
      </c>
      <c r="S3" s="2" t="s">
        <v>37</v>
      </c>
    </row>
    <row r="4" spans="1:20" ht="87" customHeight="1" x14ac:dyDescent="0.35">
      <c r="A4" s="2" t="s">
        <v>45</v>
      </c>
      <c r="B4" s="2" t="s">
        <v>21</v>
      </c>
      <c r="C4" s="2" t="s">
        <v>22</v>
      </c>
      <c r="D4" s="2" t="s">
        <v>46</v>
      </c>
      <c r="E4" s="2" t="s">
        <v>47</v>
      </c>
      <c r="F4" s="2" t="s">
        <v>48</v>
      </c>
      <c r="G4" s="2" t="s">
        <v>26</v>
      </c>
      <c r="H4" s="2" t="s">
        <v>27</v>
      </c>
      <c r="I4" s="2" t="s">
        <v>28</v>
      </c>
      <c r="J4" s="2" t="s">
        <v>49</v>
      </c>
      <c r="K4" s="2"/>
      <c r="L4" s="2" t="s">
        <v>50</v>
      </c>
      <c r="M4" s="2" t="s">
        <v>51</v>
      </c>
      <c r="N4" s="2" t="s">
        <v>33</v>
      </c>
      <c r="O4" s="2" t="s">
        <v>34</v>
      </c>
      <c r="P4" s="2" t="s">
        <v>52</v>
      </c>
      <c r="Q4" s="2"/>
      <c r="R4" s="2" t="s">
        <v>36</v>
      </c>
      <c r="S4" s="2" t="s">
        <v>37</v>
      </c>
    </row>
    <row r="5" spans="1:20" ht="87" customHeight="1" x14ac:dyDescent="0.35">
      <c r="A5" s="2" t="s">
        <v>53</v>
      </c>
      <c r="B5" s="2" t="s">
        <v>21</v>
      </c>
      <c r="C5" s="2" t="s">
        <v>22</v>
      </c>
      <c r="D5" s="2" t="s">
        <v>46</v>
      </c>
      <c r="E5" s="2" t="s">
        <v>54</v>
      </c>
      <c r="F5" s="2" t="s">
        <v>25</v>
      </c>
      <c r="G5" s="2" t="s">
        <v>55</v>
      </c>
      <c r="H5" s="2" t="s">
        <v>27</v>
      </c>
      <c r="I5" s="2" t="s">
        <v>28</v>
      </c>
      <c r="J5" s="2" t="s">
        <v>56</v>
      </c>
      <c r="K5" s="2" t="s">
        <v>57</v>
      </c>
      <c r="L5" s="2" t="s">
        <v>58</v>
      </c>
      <c r="M5" s="2" t="s">
        <v>59</v>
      </c>
      <c r="N5" s="2" t="s">
        <v>33</v>
      </c>
      <c r="O5" s="2" t="s">
        <v>34</v>
      </c>
      <c r="P5" s="2" t="s">
        <v>60</v>
      </c>
      <c r="Q5" s="2"/>
      <c r="R5" s="2" t="s">
        <v>36</v>
      </c>
      <c r="S5" s="2" t="s">
        <v>37</v>
      </c>
    </row>
    <row r="6" spans="1:20" ht="101.5" customHeight="1" x14ac:dyDescent="0.35">
      <c r="A6" s="2" t="s">
        <v>61</v>
      </c>
      <c r="B6" s="2" t="s">
        <v>21</v>
      </c>
      <c r="C6" s="2" t="s">
        <v>22</v>
      </c>
      <c r="D6" s="2" t="s">
        <v>62</v>
      </c>
      <c r="E6" s="2" t="s">
        <v>63</v>
      </c>
      <c r="F6" s="2" t="s">
        <v>64</v>
      </c>
      <c r="G6" s="2" t="s">
        <v>55</v>
      </c>
      <c r="H6" s="2" t="s">
        <v>27</v>
      </c>
      <c r="I6" s="2" t="s">
        <v>28</v>
      </c>
      <c r="J6" s="2" t="s">
        <v>65</v>
      </c>
      <c r="K6" s="2" t="s">
        <v>66</v>
      </c>
      <c r="L6" s="2" t="s">
        <v>67</v>
      </c>
      <c r="M6" s="2" t="s">
        <v>68</v>
      </c>
      <c r="N6" s="2" t="s">
        <v>33</v>
      </c>
      <c r="O6" s="2" t="s">
        <v>34</v>
      </c>
      <c r="P6" s="2" t="s">
        <v>69</v>
      </c>
      <c r="Q6" s="2"/>
      <c r="R6" s="2" t="s">
        <v>36</v>
      </c>
      <c r="S6" s="2" t="s">
        <v>37</v>
      </c>
    </row>
    <row r="7" spans="1:20" ht="203" customHeight="1" x14ac:dyDescent="0.35">
      <c r="A7" s="2" t="s">
        <v>70</v>
      </c>
      <c r="B7" s="2" t="s">
        <v>21</v>
      </c>
      <c r="C7" s="2" t="s">
        <v>22</v>
      </c>
      <c r="D7" s="2" t="s">
        <v>71</v>
      </c>
      <c r="E7" s="2" t="s">
        <v>72</v>
      </c>
      <c r="F7" s="2" t="s">
        <v>64</v>
      </c>
      <c r="G7" s="2" t="s">
        <v>26</v>
      </c>
      <c r="H7" s="2" t="s">
        <v>27</v>
      </c>
      <c r="I7" s="2" t="s">
        <v>28</v>
      </c>
      <c r="J7" s="2" t="s">
        <v>73</v>
      </c>
      <c r="K7" s="2" t="s">
        <v>74</v>
      </c>
      <c r="L7" s="2" t="s">
        <v>75</v>
      </c>
      <c r="M7" s="2" t="s">
        <v>76</v>
      </c>
      <c r="N7" s="2" t="s">
        <v>77</v>
      </c>
      <c r="O7" s="2" t="s">
        <v>34</v>
      </c>
      <c r="P7" s="2" t="s">
        <v>78</v>
      </c>
      <c r="Q7" s="2" t="s">
        <v>79</v>
      </c>
      <c r="R7" s="2" t="s">
        <v>80</v>
      </c>
      <c r="S7" s="2" t="s">
        <v>37</v>
      </c>
    </row>
    <row r="8" spans="1:20" ht="101.5" customHeight="1" x14ac:dyDescent="0.35">
      <c r="A8" s="2" t="s">
        <v>81</v>
      </c>
      <c r="B8" s="2" t="s">
        <v>21</v>
      </c>
      <c r="C8" s="2" t="s">
        <v>22</v>
      </c>
      <c r="D8" s="2" t="s">
        <v>82</v>
      </c>
      <c r="E8" s="2" t="s">
        <v>83</v>
      </c>
      <c r="F8" s="2" t="s">
        <v>48</v>
      </c>
      <c r="G8" s="2" t="s">
        <v>55</v>
      </c>
      <c r="H8" s="2" t="s">
        <v>27</v>
      </c>
      <c r="I8" s="2" t="s">
        <v>28</v>
      </c>
      <c r="J8" s="2" t="s">
        <v>84</v>
      </c>
      <c r="K8" s="2" t="s">
        <v>85</v>
      </c>
      <c r="L8" s="2" t="s">
        <v>86</v>
      </c>
      <c r="M8" s="2" t="s">
        <v>87</v>
      </c>
      <c r="N8" s="2" t="s">
        <v>33</v>
      </c>
      <c r="O8" s="2" t="s">
        <v>34</v>
      </c>
      <c r="P8" s="2" t="s">
        <v>88</v>
      </c>
      <c r="Q8" s="2"/>
      <c r="R8" s="2" t="s">
        <v>36</v>
      </c>
      <c r="S8" s="2" t="s">
        <v>37</v>
      </c>
    </row>
    <row r="9" spans="1:20" x14ac:dyDescent="0.35">
      <c r="A9" t="s">
        <v>89</v>
      </c>
      <c r="B9" t="s">
        <v>21</v>
      </c>
      <c r="C9" t="s">
        <v>90</v>
      </c>
      <c r="D9" t="s">
        <v>91</v>
      </c>
      <c r="E9" t="s">
        <v>92</v>
      </c>
      <c r="F9" t="s">
        <v>93</v>
      </c>
      <c r="G9" t="s">
        <v>26</v>
      </c>
      <c r="H9" t="s">
        <v>27</v>
      </c>
      <c r="I9" t="s">
        <v>94</v>
      </c>
      <c r="J9" t="s">
        <v>95</v>
      </c>
      <c r="K9" t="s">
        <v>96</v>
      </c>
      <c r="L9" t="s">
        <v>97</v>
      </c>
      <c r="M9" t="s">
        <v>98</v>
      </c>
      <c r="N9" t="s">
        <v>33</v>
      </c>
      <c r="O9" t="s">
        <v>34</v>
      </c>
      <c r="P9" t="s">
        <v>99</v>
      </c>
      <c r="R9" t="s">
        <v>36</v>
      </c>
      <c r="S9" t="s">
        <v>100</v>
      </c>
    </row>
    <row r="10" spans="1:20" x14ac:dyDescent="0.35">
      <c r="A10" t="s">
        <v>101</v>
      </c>
      <c r="B10" t="s">
        <v>21</v>
      </c>
      <c r="C10" t="s">
        <v>102</v>
      </c>
      <c r="D10" t="s">
        <v>103</v>
      </c>
      <c r="E10" t="s">
        <v>104</v>
      </c>
      <c r="F10" t="s">
        <v>64</v>
      </c>
      <c r="G10" t="s">
        <v>26</v>
      </c>
      <c r="H10" t="s">
        <v>27</v>
      </c>
      <c r="I10" t="s">
        <v>105</v>
      </c>
      <c r="J10" t="s">
        <v>106</v>
      </c>
      <c r="K10" t="s">
        <v>107</v>
      </c>
      <c r="L10" t="s">
        <v>108</v>
      </c>
      <c r="M10" t="s">
        <v>109</v>
      </c>
      <c r="N10" t="s">
        <v>33</v>
      </c>
      <c r="O10" t="s">
        <v>34</v>
      </c>
      <c r="P10" t="s">
        <v>110</v>
      </c>
      <c r="R10" t="s">
        <v>36</v>
      </c>
      <c r="S10" t="s">
        <v>100</v>
      </c>
    </row>
    <row r="11" spans="1:20" x14ac:dyDescent="0.35">
      <c r="A11" t="s">
        <v>111</v>
      </c>
      <c r="B11" t="s">
        <v>21</v>
      </c>
      <c r="C11" t="s">
        <v>102</v>
      </c>
      <c r="D11" t="s">
        <v>112</v>
      </c>
      <c r="E11" t="s">
        <v>113</v>
      </c>
      <c r="F11" t="s">
        <v>64</v>
      </c>
      <c r="G11" t="s">
        <v>55</v>
      </c>
      <c r="H11" t="s">
        <v>27</v>
      </c>
      <c r="I11" t="s">
        <v>114</v>
      </c>
      <c r="J11" t="s">
        <v>115</v>
      </c>
      <c r="K11" t="s">
        <v>116</v>
      </c>
      <c r="L11" t="s">
        <v>117</v>
      </c>
      <c r="M11" t="s">
        <v>118</v>
      </c>
      <c r="N11" t="s">
        <v>33</v>
      </c>
      <c r="O11" t="s">
        <v>34</v>
      </c>
      <c r="P11" t="s">
        <v>119</v>
      </c>
      <c r="R11" t="s">
        <v>36</v>
      </c>
      <c r="S11" t="s">
        <v>100</v>
      </c>
    </row>
    <row r="12" spans="1:20" x14ac:dyDescent="0.35">
      <c r="A12" t="s">
        <v>120</v>
      </c>
      <c r="B12" t="s">
        <v>21</v>
      </c>
      <c r="C12" t="s">
        <v>102</v>
      </c>
      <c r="D12" t="s">
        <v>121</v>
      </c>
      <c r="E12" t="s">
        <v>122</v>
      </c>
      <c r="F12" t="s">
        <v>48</v>
      </c>
      <c r="G12" t="s">
        <v>55</v>
      </c>
      <c r="H12" t="s">
        <v>27</v>
      </c>
      <c r="I12" t="s">
        <v>123</v>
      </c>
      <c r="J12" t="s">
        <v>124</v>
      </c>
      <c r="K12" t="s">
        <v>125</v>
      </c>
      <c r="L12" t="s">
        <v>126</v>
      </c>
      <c r="M12" t="s">
        <v>127</v>
      </c>
      <c r="N12" t="s">
        <v>33</v>
      </c>
      <c r="O12" t="s">
        <v>34</v>
      </c>
      <c r="P12" t="s">
        <v>128</v>
      </c>
      <c r="R12" t="s">
        <v>36</v>
      </c>
      <c r="S12" t="s">
        <v>100</v>
      </c>
    </row>
    <row r="13" spans="1:20" x14ac:dyDescent="0.35">
      <c r="A13" t="s">
        <v>129</v>
      </c>
      <c r="B13" t="s">
        <v>21</v>
      </c>
      <c r="C13" t="s">
        <v>130</v>
      </c>
      <c r="D13" t="s">
        <v>131</v>
      </c>
      <c r="E13" t="s">
        <v>132</v>
      </c>
      <c r="F13" t="s">
        <v>93</v>
      </c>
      <c r="G13" t="s">
        <v>26</v>
      </c>
      <c r="H13" t="s">
        <v>27</v>
      </c>
      <c r="I13" t="s">
        <v>133</v>
      </c>
      <c r="J13" t="s">
        <v>134</v>
      </c>
      <c r="K13" t="s">
        <v>135</v>
      </c>
      <c r="L13" t="s">
        <v>136</v>
      </c>
      <c r="M13" t="s">
        <v>137</v>
      </c>
      <c r="N13" t="s">
        <v>33</v>
      </c>
      <c r="O13" t="s">
        <v>34</v>
      </c>
      <c r="P13" t="s">
        <v>138</v>
      </c>
      <c r="R13" t="s">
        <v>36</v>
      </c>
      <c r="S13" t="s">
        <v>100</v>
      </c>
    </row>
    <row r="14" spans="1:20" x14ac:dyDescent="0.35">
      <c r="A14" t="s">
        <v>139</v>
      </c>
      <c r="B14" t="s">
        <v>140</v>
      </c>
      <c r="C14" t="s">
        <v>141</v>
      </c>
      <c r="D14" t="s">
        <v>142</v>
      </c>
      <c r="E14" t="s">
        <v>143</v>
      </c>
      <c r="F14" t="s">
        <v>144</v>
      </c>
      <c r="G14" t="s">
        <v>26</v>
      </c>
      <c r="H14" t="s">
        <v>27</v>
      </c>
      <c r="I14" t="s">
        <v>145</v>
      </c>
      <c r="J14" t="s">
        <v>146</v>
      </c>
      <c r="K14" t="s">
        <v>147</v>
      </c>
      <c r="L14" t="s">
        <v>148</v>
      </c>
      <c r="M14" t="s">
        <v>149</v>
      </c>
      <c r="N14" t="s">
        <v>33</v>
      </c>
      <c r="O14" t="s">
        <v>34</v>
      </c>
      <c r="P14" t="s">
        <v>150</v>
      </c>
      <c r="R14" t="s">
        <v>36</v>
      </c>
      <c r="S14" t="s">
        <v>151</v>
      </c>
    </row>
    <row r="15" spans="1:20" x14ac:dyDescent="0.35">
      <c r="A15" t="s">
        <v>152</v>
      </c>
      <c r="B15" t="s">
        <v>140</v>
      </c>
      <c r="C15" t="s">
        <v>141</v>
      </c>
      <c r="D15" t="s">
        <v>153</v>
      </c>
      <c r="E15" t="s">
        <v>154</v>
      </c>
      <c r="F15" t="s">
        <v>144</v>
      </c>
      <c r="G15" t="s">
        <v>26</v>
      </c>
      <c r="H15" t="s">
        <v>27</v>
      </c>
      <c r="I15" t="s">
        <v>155</v>
      </c>
      <c r="J15" t="s">
        <v>156</v>
      </c>
      <c r="K15" t="s">
        <v>157</v>
      </c>
      <c r="L15" t="s">
        <v>158</v>
      </c>
      <c r="M15" t="s">
        <v>159</v>
      </c>
      <c r="N15" t="s">
        <v>33</v>
      </c>
      <c r="O15" t="s">
        <v>34</v>
      </c>
      <c r="P15" t="s">
        <v>160</v>
      </c>
      <c r="R15" t="s">
        <v>36</v>
      </c>
      <c r="S15" t="s">
        <v>151</v>
      </c>
    </row>
    <row r="16" spans="1:20" x14ac:dyDescent="0.35">
      <c r="A16" t="s">
        <v>161</v>
      </c>
      <c r="B16" t="s">
        <v>140</v>
      </c>
      <c r="C16" t="s">
        <v>141</v>
      </c>
      <c r="D16" t="s">
        <v>162</v>
      </c>
      <c r="E16" t="s">
        <v>163</v>
      </c>
      <c r="F16" t="s">
        <v>144</v>
      </c>
      <c r="G16" t="s">
        <v>26</v>
      </c>
      <c r="H16" t="s">
        <v>27</v>
      </c>
      <c r="I16" t="s">
        <v>164</v>
      </c>
      <c r="J16" t="s">
        <v>165</v>
      </c>
      <c r="K16" t="s">
        <v>166</v>
      </c>
      <c r="L16" t="s">
        <v>167</v>
      </c>
      <c r="M16" t="s">
        <v>168</v>
      </c>
      <c r="N16" t="s">
        <v>33</v>
      </c>
      <c r="O16" t="s">
        <v>34</v>
      </c>
      <c r="P16" t="s">
        <v>169</v>
      </c>
      <c r="R16" t="s">
        <v>36</v>
      </c>
      <c r="S16" t="s">
        <v>151</v>
      </c>
    </row>
    <row r="17" spans="1:20" x14ac:dyDescent="0.35">
      <c r="A17" t="s">
        <v>170</v>
      </c>
      <c r="B17" t="s">
        <v>140</v>
      </c>
      <c r="C17" t="s">
        <v>141</v>
      </c>
      <c r="D17" t="s">
        <v>171</v>
      </c>
      <c r="E17" t="s">
        <v>172</v>
      </c>
      <c r="F17" t="s">
        <v>173</v>
      </c>
      <c r="G17" t="s">
        <v>26</v>
      </c>
      <c r="H17" t="s">
        <v>27</v>
      </c>
      <c r="I17" t="s">
        <v>174</v>
      </c>
      <c r="J17" t="s">
        <v>175</v>
      </c>
      <c r="K17" t="s">
        <v>176</v>
      </c>
      <c r="L17" t="s">
        <v>177</v>
      </c>
      <c r="M17" t="s">
        <v>178</v>
      </c>
      <c r="N17" t="s">
        <v>33</v>
      </c>
      <c r="O17" t="s">
        <v>34</v>
      </c>
      <c r="P17" t="s">
        <v>179</v>
      </c>
      <c r="R17" t="s">
        <v>36</v>
      </c>
      <c r="S17" t="s">
        <v>151</v>
      </c>
    </row>
    <row r="18" spans="1:20" x14ac:dyDescent="0.35">
      <c r="A18" t="s">
        <v>180</v>
      </c>
      <c r="B18" t="s">
        <v>140</v>
      </c>
      <c r="C18" t="s">
        <v>141</v>
      </c>
      <c r="D18" t="s">
        <v>181</v>
      </c>
      <c r="E18" t="s">
        <v>182</v>
      </c>
      <c r="F18" t="s">
        <v>173</v>
      </c>
      <c r="G18" t="s">
        <v>26</v>
      </c>
      <c r="H18" t="s">
        <v>27</v>
      </c>
      <c r="I18" t="s">
        <v>183</v>
      </c>
      <c r="J18" t="s">
        <v>184</v>
      </c>
      <c r="K18" t="s">
        <v>185</v>
      </c>
      <c r="L18" t="s">
        <v>186</v>
      </c>
      <c r="M18" t="s">
        <v>187</v>
      </c>
      <c r="N18" t="s">
        <v>33</v>
      </c>
      <c r="O18" t="s">
        <v>34</v>
      </c>
      <c r="P18" t="s">
        <v>188</v>
      </c>
      <c r="R18" t="s">
        <v>36</v>
      </c>
      <c r="S18" t="s">
        <v>151</v>
      </c>
    </row>
    <row r="19" spans="1:20" x14ac:dyDescent="0.35">
      <c r="A19" t="s">
        <v>189</v>
      </c>
      <c r="B19" t="s">
        <v>140</v>
      </c>
      <c r="C19" t="s">
        <v>190</v>
      </c>
      <c r="D19" t="s">
        <v>191</v>
      </c>
      <c r="E19" t="s">
        <v>192</v>
      </c>
      <c r="F19" t="s">
        <v>144</v>
      </c>
      <c r="G19" t="s">
        <v>26</v>
      </c>
      <c r="H19" t="s">
        <v>27</v>
      </c>
      <c r="I19" t="s">
        <v>193</v>
      </c>
      <c r="J19" t="s">
        <v>194</v>
      </c>
      <c r="K19" t="s">
        <v>195</v>
      </c>
      <c r="L19" t="s">
        <v>196</v>
      </c>
      <c r="M19" t="s">
        <v>197</v>
      </c>
      <c r="N19" t="s">
        <v>33</v>
      </c>
      <c r="O19" t="s">
        <v>34</v>
      </c>
      <c r="P19" t="s">
        <v>198</v>
      </c>
      <c r="R19" t="s">
        <v>199</v>
      </c>
      <c r="S19" t="s">
        <v>151</v>
      </c>
    </row>
    <row r="20" spans="1:20" x14ac:dyDescent="0.35">
      <c r="A20" t="s">
        <v>200</v>
      </c>
      <c r="B20" t="s">
        <v>201</v>
      </c>
      <c r="C20" t="s">
        <v>190</v>
      </c>
      <c r="D20" t="s">
        <v>202</v>
      </c>
      <c r="E20" t="s">
        <v>203</v>
      </c>
      <c r="F20" t="s">
        <v>173</v>
      </c>
      <c r="G20" t="s">
        <v>26</v>
      </c>
      <c r="H20" t="s">
        <v>27</v>
      </c>
      <c r="I20" t="s">
        <v>204</v>
      </c>
      <c r="J20" t="s">
        <v>205</v>
      </c>
      <c r="K20" t="s">
        <v>176</v>
      </c>
      <c r="L20" t="s">
        <v>206</v>
      </c>
      <c r="M20" t="s">
        <v>207</v>
      </c>
      <c r="N20" t="s">
        <v>33</v>
      </c>
      <c r="O20" t="s">
        <v>34</v>
      </c>
      <c r="P20" t="s">
        <v>208</v>
      </c>
      <c r="R20" t="s">
        <v>36</v>
      </c>
      <c r="S20" t="s">
        <v>151</v>
      </c>
    </row>
    <row r="21" spans="1:20" x14ac:dyDescent="0.35">
      <c r="A21" t="s">
        <v>209</v>
      </c>
      <c r="B21" t="s">
        <v>210</v>
      </c>
      <c r="C21" t="s">
        <v>211</v>
      </c>
      <c r="D21" t="s">
        <v>212</v>
      </c>
      <c r="E21" t="s">
        <v>213</v>
      </c>
      <c r="F21" t="s">
        <v>214</v>
      </c>
      <c r="G21" t="s">
        <v>26</v>
      </c>
      <c r="H21" t="s">
        <v>27</v>
      </c>
      <c r="I21" t="s">
        <v>215</v>
      </c>
      <c r="J21" t="s">
        <v>216</v>
      </c>
      <c r="K21" t="s">
        <v>217</v>
      </c>
      <c r="L21" t="s">
        <v>218</v>
      </c>
      <c r="M21" t="s">
        <v>219</v>
      </c>
      <c r="N21" t="s">
        <v>33</v>
      </c>
      <c r="O21" t="s">
        <v>34</v>
      </c>
      <c r="P21" t="s">
        <v>220</v>
      </c>
      <c r="R21" t="s">
        <v>36</v>
      </c>
      <c r="S21" t="s">
        <v>221</v>
      </c>
    </row>
    <row r="22" spans="1:20" x14ac:dyDescent="0.35">
      <c r="A22" t="s">
        <v>222</v>
      </c>
      <c r="B22" t="s">
        <v>140</v>
      </c>
      <c r="C22" t="s">
        <v>223</v>
      </c>
      <c r="D22" t="s">
        <v>224</v>
      </c>
      <c r="E22" t="s">
        <v>225</v>
      </c>
      <c r="F22" t="s">
        <v>226</v>
      </c>
      <c r="G22" t="s">
        <v>26</v>
      </c>
      <c r="H22" t="s">
        <v>227</v>
      </c>
      <c r="I22" t="s">
        <v>228</v>
      </c>
      <c r="J22" t="s">
        <v>229</v>
      </c>
      <c r="K22" t="s">
        <v>230</v>
      </c>
      <c r="L22" t="s">
        <v>231</v>
      </c>
      <c r="N22" t="s">
        <v>232</v>
      </c>
      <c r="R22" t="s">
        <v>233</v>
      </c>
      <c r="S22" t="s">
        <v>234</v>
      </c>
      <c r="T22" t="s">
        <v>235</v>
      </c>
    </row>
    <row r="23" spans="1:20" x14ac:dyDescent="0.35">
      <c r="A23" t="s">
        <v>236</v>
      </c>
      <c r="B23" t="s">
        <v>140</v>
      </c>
      <c r="C23" t="s">
        <v>223</v>
      </c>
      <c r="D23" t="s">
        <v>237</v>
      </c>
      <c r="E23" t="s">
        <v>238</v>
      </c>
      <c r="F23" t="s">
        <v>226</v>
      </c>
      <c r="G23" t="s">
        <v>26</v>
      </c>
      <c r="H23" t="s">
        <v>227</v>
      </c>
      <c r="I23" t="s">
        <v>239</v>
      </c>
      <c r="J23" t="s">
        <v>240</v>
      </c>
      <c r="K23" t="s">
        <v>241</v>
      </c>
      <c r="L23" t="s">
        <v>242</v>
      </c>
      <c r="N23" t="s">
        <v>232</v>
      </c>
      <c r="R23" t="s">
        <v>243</v>
      </c>
      <c r="S23" t="s">
        <v>234</v>
      </c>
      <c r="T23" t="s">
        <v>244</v>
      </c>
    </row>
    <row r="24" spans="1:20" x14ac:dyDescent="0.35">
      <c r="A24" t="s">
        <v>245</v>
      </c>
      <c r="B24" t="s">
        <v>140</v>
      </c>
      <c r="C24" t="s">
        <v>223</v>
      </c>
      <c r="D24" t="s">
        <v>246</v>
      </c>
      <c r="E24" t="s">
        <v>247</v>
      </c>
      <c r="F24" t="s">
        <v>25</v>
      </c>
      <c r="G24" t="s">
        <v>26</v>
      </c>
      <c r="H24" t="s">
        <v>227</v>
      </c>
      <c r="I24" t="s">
        <v>248</v>
      </c>
      <c r="J24" t="s">
        <v>249</v>
      </c>
      <c r="K24" t="s">
        <v>250</v>
      </c>
      <c r="L24" t="s">
        <v>251</v>
      </c>
      <c r="N24" t="s">
        <v>232</v>
      </c>
      <c r="R24" t="s">
        <v>252</v>
      </c>
      <c r="S24" t="s">
        <v>234</v>
      </c>
      <c r="T24" t="s">
        <v>253</v>
      </c>
    </row>
    <row r="25" spans="1:20" x14ac:dyDescent="0.35">
      <c r="A25" t="s">
        <v>254</v>
      </c>
      <c r="B25" t="s">
        <v>140</v>
      </c>
      <c r="C25" t="s">
        <v>223</v>
      </c>
      <c r="D25" t="s">
        <v>255</v>
      </c>
      <c r="E25" t="s">
        <v>256</v>
      </c>
      <c r="F25" t="s">
        <v>226</v>
      </c>
      <c r="G25" t="s">
        <v>26</v>
      </c>
      <c r="H25" t="s">
        <v>227</v>
      </c>
      <c r="I25" t="s">
        <v>257</v>
      </c>
      <c r="J25" t="s">
        <v>258</v>
      </c>
      <c r="K25" t="s">
        <v>259</v>
      </c>
      <c r="L25" t="s">
        <v>260</v>
      </c>
      <c r="N25" t="s">
        <v>232</v>
      </c>
      <c r="R25" t="s">
        <v>261</v>
      </c>
      <c r="S25" t="s">
        <v>234</v>
      </c>
      <c r="T25" t="s">
        <v>262</v>
      </c>
    </row>
    <row r="26" spans="1:20" x14ac:dyDescent="0.35">
      <c r="A26" t="s">
        <v>263</v>
      </c>
      <c r="B26" t="s">
        <v>210</v>
      </c>
      <c r="C26" t="s">
        <v>264</v>
      </c>
      <c r="D26" t="s">
        <v>265</v>
      </c>
      <c r="E26" t="s">
        <v>266</v>
      </c>
      <c r="F26" t="s">
        <v>64</v>
      </c>
      <c r="G26" t="s">
        <v>26</v>
      </c>
      <c r="H26" t="s">
        <v>227</v>
      </c>
      <c r="I26" t="s">
        <v>267</v>
      </c>
      <c r="J26" t="s">
        <v>268</v>
      </c>
      <c r="K26" t="s">
        <v>269</v>
      </c>
      <c r="L26" t="s">
        <v>270</v>
      </c>
      <c r="N26" t="s">
        <v>232</v>
      </c>
      <c r="R26" t="s">
        <v>271</v>
      </c>
      <c r="S26" t="s">
        <v>234</v>
      </c>
      <c r="T26" t="s">
        <v>272</v>
      </c>
    </row>
    <row r="27" spans="1:20" x14ac:dyDescent="0.35">
      <c r="A27" t="s">
        <v>273</v>
      </c>
      <c r="B27" t="s">
        <v>210</v>
      </c>
      <c r="C27" t="s">
        <v>264</v>
      </c>
      <c r="D27" t="s">
        <v>265</v>
      </c>
      <c r="E27" t="s">
        <v>274</v>
      </c>
      <c r="F27" t="s">
        <v>64</v>
      </c>
      <c r="G27" t="s">
        <v>26</v>
      </c>
      <c r="H27" t="s">
        <v>227</v>
      </c>
      <c r="I27" t="s">
        <v>275</v>
      </c>
      <c r="J27" t="s">
        <v>276</v>
      </c>
      <c r="K27" t="s">
        <v>277</v>
      </c>
      <c r="L27" t="s">
        <v>278</v>
      </c>
      <c r="N27" t="s">
        <v>232</v>
      </c>
      <c r="R27" t="s">
        <v>279</v>
      </c>
      <c r="S27" t="s">
        <v>234</v>
      </c>
      <c r="T27" t="s">
        <v>280</v>
      </c>
    </row>
    <row r="28" spans="1:20" x14ac:dyDescent="0.35">
      <c r="A28" t="s">
        <v>281</v>
      </c>
      <c r="B28" t="s">
        <v>210</v>
      </c>
      <c r="C28" t="s">
        <v>264</v>
      </c>
      <c r="D28" t="s">
        <v>282</v>
      </c>
      <c r="E28" t="s">
        <v>283</v>
      </c>
      <c r="F28" t="s">
        <v>25</v>
      </c>
      <c r="G28" t="s">
        <v>55</v>
      </c>
      <c r="H28" t="s">
        <v>227</v>
      </c>
      <c r="I28" t="s">
        <v>284</v>
      </c>
      <c r="J28" t="s">
        <v>285</v>
      </c>
      <c r="K28" t="s">
        <v>286</v>
      </c>
      <c r="L28" t="s">
        <v>287</v>
      </c>
      <c r="N28" t="s">
        <v>232</v>
      </c>
      <c r="R28" t="s">
        <v>288</v>
      </c>
      <c r="S28" t="s">
        <v>234</v>
      </c>
      <c r="T28" t="s">
        <v>289</v>
      </c>
    </row>
    <row r="29" spans="1:20" x14ac:dyDescent="0.35">
      <c r="A29" t="s">
        <v>290</v>
      </c>
      <c r="B29" t="s">
        <v>210</v>
      </c>
      <c r="C29" t="s">
        <v>291</v>
      </c>
      <c r="D29" t="s">
        <v>292</v>
      </c>
      <c r="E29" t="s">
        <v>293</v>
      </c>
      <c r="F29" t="s">
        <v>25</v>
      </c>
      <c r="G29" t="s">
        <v>26</v>
      </c>
      <c r="H29" t="s">
        <v>227</v>
      </c>
      <c r="I29" t="s">
        <v>294</v>
      </c>
      <c r="J29" t="s">
        <v>295</v>
      </c>
      <c r="K29" t="s">
        <v>296</v>
      </c>
      <c r="L29" t="s">
        <v>297</v>
      </c>
      <c r="N29" t="s">
        <v>232</v>
      </c>
      <c r="R29" t="s">
        <v>298</v>
      </c>
      <c r="S29" t="s">
        <v>234</v>
      </c>
      <c r="T29" t="s">
        <v>299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9"/>
  <sheetViews>
    <sheetView workbookViewId="0"/>
  </sheetViews>
  <sheetFormatPr defaultRowHeight="14.5" x14ac:dyDescent="0.35"/>
  <sheetData>
    <row r="1" spans="1:8" x14ac:dyDescent="0.35">
      <c r="A1" t="s">
        <v>300</v>
      </c>
      <c r="B1" t="s">
        <v>301</v>
      </c>
      <c r="C1" t="s">
        <v>302</v>
      </c>
      <c r="D1" t="s">
        <v>303</v>
      </c>
      <c r="E1" t="s">
        <v>304</v>
      </c>
    </row>
    <row r="2" spans="1:8" x14ac:dyDescent="0.35">
      <c r="A2" t="s">
        <v>20</v>
      </c>
      <c r="B2" t="s">
        <v>30</v>
      </c>
      <c r="C2" t="s">
        <v>305</v>
      </c>
      <c r="D2" t="s">
        <v>306</v>
      </c>
      <c r="E2" t="s">
        <v>307</v>
      </c>
    </row>
    <row r="3" spans="1:8" x14ac:dyDescent="0.35">
      <c r="A3" t="s">
        <v>38</v>
      </c>
      <c r="B3" t="s">
        <v>41</v>
      </c>
      <c r="C3" t="s">
        <v>305</v>
      </c>
      <c r="D3" t="s">
        <v>306</v>
      </c>
      <c r="E3" t="s">
        <v>308</v>
      </c>
    </row>
    <row r="5" spans="1:8" x14ac:dyDescent="0.35">
      <c r="A5" t="s">
        <v>309</v>
      </c>
    </row>
    <row r="6" spans="1:8" x14ac:dyDescent="0.35">
      <c r="A6" t="s">
        <v>310</v>
      </c>
      <c r="B6" t="s">
        <v>311</v>
      </c>
      <c r="C6" t="s">
        <v>312</v>
      </c>
      <c r="D6" t="s">
        <v>313</v>
      </c>
      <c r="E6" t="s">
        <v>314</v>
      </c>
      <c r="F6" t="s">
        <v>315</v>
      </c>
      <c r="G6" t="s">
        <v>316</v>
      </c>
      <c r="H6" t="s">
        <v>304</v>
      </c>
    </row>
    <row r="7" spans="1:8" x14ac:dyDescent="0.35">
      <c r="A7" t="s">
        <v>317</v>
      </c>
      <c r="B7" t="s">
        <v>318</v>
      </c>
      <c r="C7">
        <v>100000</v>
      </c>
      <c r="D7" t="s">
        <v>319</v>
      </c>
      <c r="E7">
        <v>110000</v>
      </c>
      <c r="F7">
        <v>50</v>
      </c>
      <c r="G7" t="s">
        <v>320</v>
      </c>
      <c r="H7" t="s">
        <v>321</v>
      </c>
    </row>
    <row r="8" spans="1:8" x14ac:dyDescent="0.35">
      <c r="A8" t="s">
        <v>322</v>
      </c>
      <c r="B8" t="s">
        <v>323</v>
      </c>
      <c r="C8">
        <v>110000</v>
      </c>
      <c r="D8" t="s">
        <v>319</v>
      </c>
      <c r="E8">
        <v>121000</v>
      </c>
      <c r="F8">
        <v>30</v>
      </c>
      <c r="G8" t="s">
        <v>320</v>
      </c>
      <c r="H8" t="s">
        <v>321</v>
      </c>
    </row>
    <row r="9" spans="1:8" x14ac:dyDescent="0.35">
      <c r="A9" t="s">
        <v>324</v>
      </c>
      <c r="B9" t="s">
        <v>325</v>
      </c>
      <c r="C9">
        <v>111000</v>
      </c>
      <c r="D9" t="s">
        <v>319</v>
      </c>
      <c r="E9">
        <v>122100</v>
      </c>
      <c r="F9">
        <v>40</v>
      </c>
      <c r="G9" t="s">
        <v>320</v>
      </c>
      <c r="H9" t="s">
        <v>326</v>
      </c>
    </row>
    <row r="10" spans="1:8" x14ac:dyDescent="0.35">
      <c r="A10" t="s">
        <v>327</v>
      </c>
      <c r="B10" t="s">
        <v>328</v>
      </c>
      <c r="C10">
        <v>111100</v>
      </c>
      <c r="D10" t="s">
        <v>319</v>
      </c>
      <c r="E10">
        <v>122210</v>
      </c>
      <c r="F10">
        <v>89</v>
      </c>
      <c r="G10" t="s">
        <v>320</v>
      </c>
      <c r="H10" t="s">
        <v>321</v>
      </c>
    </row>
    <row r="12" spans="1:8" x14ac:dyDescent="0.35">
      <c r="A12" t="s">
        <v>329</v>
      </c>
    </row>
    <row r="13" spans="1:8" x14ac:dyDescent="0.35">
      <c r="A13" t="s">
        <v>330</v>
      </c>
      <c r="B13" t="s">
        <v>301</v>
      </c>
      <c r="C13" t="s">
        <v>331</v>
      </c>
      <c r="D13" t="s">
        <v>302</v>
      </c>
      <c r="E13" t="s">
        <v>332</v>
      </c>
      <c r="F13" t="s">
        <v>304</v>
      </c>
    </row>
    <row r="14" spans="1:8" x14ac:dyDescent="0.35">
      <c r="A14" t="s">
        <v>333</v>
      </c>
      <c r="B14" t="s">
        <v>334</v>
      </c>
      <c r="C14" t="s">
        <v>335</v>
      </c>
      <c r="D14" t="s">
        <v>336</v>
      </c>
      <c r="E14" t="s">
        <v>337</v>
      </c>
      <c r="F14" t="s">
        <v>338</v>
      </c>
    </row>
    <row r="15" spans="1:8" x14ac:dyDescent="0.35">
      <c r="A15" t="s">
        <v>339</v>
      </c>
      <c r="B15" t="s">
        <v>340</v>
      </c>
      <c r="C15" t="s">
        <v>341</v>
      </c>
      <c r="D15" t="s">
        <v>336</v>
      </c>
      <c r="E15" t="s">
        <v>337</v>
      </c>
      <c r="F15" t="s">
        <v>342</v>
      </c>
    </row>
    <row r="17" spans="1:10" x14ac:dyDescent="0.35">
      <c r="A17" t="s">
        <v>343</v>
      </c>
    </row>
    <row r="18" spans="1:10" x14ac:dyDescent="0.35">
      <c r="A18" t="s">
        <v>344</v>
      </c>
      <c r="B18" t="s">
        <v>345</v>
      </c>
      <c r="C18" t="s">
        <v>346</v>
      </c>
      <c r="D18" t="s">
        <v>347</v>
      </c>
      <c r="E18" t="s">
        <v>312</v>
      </c>
      <c r="F18" t="s">
        <v>348</v>
      </c>
      <c r="G18" t="s">
        <v>349</v>
      </c>
      <c r="H18" t="s">
        <v>350</v>
      </c>
      <c r="I18" t="s">
        <v>332</v>
      </c>
      <c r="J18" t="s">
        <v>351</v>
      </c>
    </row>
    <row r="19" spans="1:10" x14ac:dyDescent="0.35">
      <c r="A19" t="s">
        <v>352</v>
      </c>
      <c r="B19" t="s">
        <v>334</v>
      </c>
      <c r="C19" t="s">
        <v>324</v>
      </c>
      <c r="D19">
        <v>5</v>
      </c>
      <c r="E19">
        <v>111000</v>
      </c>
      <c r="F19">
        <v>555000</v>
      </c>
      <c r="G19">
        <v>55500</v>
      </c>
      <c r="H19">
        <v>610500</v>
      </c>
      <c r="I19" t="s">
        <v>353</v>
      </c>
      <c r="J19">
        <v>35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
  <sheetViews>
    <sheetView workbookViewId="0"/>
  </sheetViews>
  <sheetFormatPr defaultRowHeight="14.5" x14ac:dyDescent="0.35"/>
  <sheetData>
    <row r="1" spans="1:14" x14ac:dyDescent="0.35">
      <c r="A1" t="s">
        <v>16</v>
      </c>
      <c r="B1" t="s">
        <v>354</v>
      </c>
      <c r="C1" t="s">
        <v>1</v>
      </c>
      <c r="D1" t="s">
        <v>355</v>
      </c>
      <c r="E1" t="s">
        <v>356</v>
      </c>
      <c r="F1" t="s">
        <v>357</v>
      </c>
      <c r="G1" t="s">
        <v>358</v>
      </c>
      <c r="H1" t="s">
        <v>359</v>
      </c>
      <c r="I1" t="s">
        <v>360</v>
      </c>
      <c r="J1" t="s">
        <v>361</v>
      </c>
      <c r="K1" t="s">
        <v>362</v>
      </c>
      <c r="L1" t="s">
        <v>363</v>
      </c>
      <c r="M1" t="s">
        <v>364</v>
      </c>
      <c r="N1" t="s">
        <v>365</v>
      </c>
    </row>
    <row r="2" spans="1:14" x14ac:dyDescent="0.35">
      <c r="A2" t="s">
        <v>79</v>
      </c>
      <c r="B2" t="s">
        <v>366</v>
      </c>
      <c r="C2" t="s">
        <v>21</v>
      </c>
      <c r="D2" t="s">
        <v>70</v>
      </c>
      <c r="E2" t="s">
        <v>367</v>
      </c>
      <c r="F2" t="s">
        <v>368</v>
      </c>
      <c r="G2" t="s">
        <v>369</v>
      </c>
      <c r="H2" t="s">
        <v>370</v>
      </c>
      <c r="I2" t="s">
        <v>371</v>
      </c>
      <c r="J2" t="s">
        <v>55</v>
      </c>
      <c r="K2" t="s">
        <v>372</v>
      </c>
      <c r="L2" t="s">
        <v>373</v>
      </c>
      <c r="M2" t="s">
        <v>374</v>
      </c>
      <c r="N2" t="s">
        <v>375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
  <sheetViews>
    <sheetView workbookViewId="0"/>
  </sheetViews>
  <sheetFormatPr defaultRowHeight="14.5" x14ac:dyDescent="0.35"/>
  <sheetData>
    <row r="1" spans="1:10" x14ac:dyDescent="0.35">
      <c r="A1" t="s">
        <v>376</v>
      </c>
      <c r="B1" t="s">
        <v>377</v>
      </c>
      <c r="C1" t="s">
        <v>378</v>
      </c>
      <c r="D1" t="s">
        <v>379</v>
      </c>
      <c r="E1" t="s">
        <v>380</v>
      </c>
      <c r="F1" t="s">
        <v>381</v>
      </c>
      <c r="G1" t="s">
        <v>382</v>
      </c>
      <c r="H1" t="s">
        <v>383</v>
      </c>
      <c r="I1" t="s">
        <v>384</v>
      </c>
      <c r="J1" t="s">
        <v>385</v>
      </c>
    </row>
    <row r="2" spans="1:10" x14ac:dyDescent="0.35">
      <c r="A2">
        <v>1</v>
      </c>
      <c r="B2" t="s">
        <v>386</v>
      </c>
      <c r="C2" t="s">
        <v>387</v>
      </c>
      <c r="D2" t="s">
        <v>388</v>
      </c>
      <c r="E2" t="s">
        <v>389</v>
      </c>
      <c r="F2" t="s">
        <v>390</v>
      </c>
      <c r="G2" t="s">
        <v>391</v>
      </c>
      <c r="H2" t="s">
        <v>392</v>
      </c>
      <c r="I2" t="s">
        <v>393</v>
      </c>
      <c r="J2" t="s">
        <v>394</v>
      </c>
    </row>
    <row r="3" spans="1:10" x14ac:dyDescent="0.35">
      <c r="A3">
        <v>2</v>
      </c>
      <c r="B3" t="s">
        <v>395</v>
      </c>
      <c r="C3" t="s">
        <v>396</v>
      </c>
      <c r="D3" t="s">
        <v>388</v>
      </c>
      <c r="E3" t="s">
        <v>397</v>
      </c>
      <c r="F3" t="s">
        <v>398</v>
      </c>
      <c r="G3" t="s">
        <v>399</v>
      </c>
      <c r="H3" t="s">
        <v>400</v>
      </c>
      <c r="I3" t="s">
        <v>401</v>
      </c>
      <c r="J3" t="s">
        <v>402</v>
      </c>
    </row>
    <row r="4" spans="1:10" x14ac:dyDescent="0.35">
      <c r="A4">
        <v>3</v>
      </c>
      <c r="B4" t="s">
        <v>395</v>
      </c>
      <c r="C4" t="s">
        <v>403</v>
      </c>
      <c r="D4" t="s">
        <v>404</v>
      </c>
      <c r="E4" t="s">
        <v>405</v>
      </c>
      <c r="F4" t="s">
        <v>406</v>
      </c>
      <c r="G4" t="s">
        <v>407</v>
      </c>
      <c r="H4" t="s">
        <v>400</v>
      </c>
      <c r="I4" t="s">
        <v>408</v>
      </c>
      <c r="J4" t="s">
        <v>409</v>
      </c>
    </row>
    <row r="5" spans="1:10" x14ac:dyDescent="0.35">
      <c r="A5">
        <v>4</v>
      </c>
      <c r="B5" t="s">
        <v>410</v>
      </c>
      <c r="C5" t="s">
        <v>403</v>
      </c>
      <c r="D5" t="s">
        <v>404</v>
      </c>
      <c r="E5" t="s">
        <v>411</v>
      </c>
      <c r="F5" t="s">
        <v>412</v>
      </c>
      <c r="G5" t="s">
        <v>413</v>
      </c>
      <c r="H5" t="s">
        <v>414</v>
      </c>
      <c r="I5" t="s">
        <v>415</v>
      </c>
      <c r="J5" t="s">
        <v>416</v>
      </c>
    </row>
    <row r="6" spans="1:10" x14ac:dyDescent="0.35">
      <c r="A6">
        <v>5</v>
      </c>
      <c r="B6" t="s">
        <v>417</v>
      </c>
      <c r="C6" t="s">
        <v>418</v>
      </c>
      <c r="D6" t="s">
        <v>404</v>
      </c>
      <c r="E6" t="s">
        <v>419</v>
      </c>
      <c r="F6" t="s">
        <v>420</v>
      </c>
      <c r="G6" t="s">
        <v>421</v>
      </c>
      <c r="H6" t="s">
        <v>400</v>
      </c>
      <c r="I6" t="s">
        <v>422</v>
      </c>
      <c r="J6" t="s">
        <v>423</v>
      </c>
    </row>
    <row r="7" spans="1:10" x14ac:dyDescent="0.35">
      <c r="A7">
        <v>6</v>
      </c>
      <c r="B7" t="s">
        <v>374</v>
      </c>
      <c r="C7" t="s">
        <v>424</v>
      </c>
      <c r="D7" t="s">
        <v>425</v>
      </c>
      <c r="E7" t="s">
        <v>426</v>
      </c>
      <c r="F7" t="s">
        <v>427</v>
      </c>
      <c r="G7" t="s">
        <v>428</v>
      </c>
      <c r="H7" t="s">
        <v>429</v>
      </c>
      <c r="I7" t="s">
        <v>430</v>
      </c>
      <c r="J7" t="s">
        <v>431</v>
      </c>
    </row>
    <row r="8" spans="1:10" x14ac:dyDescent="0.35">
      <c r="A8">
        <v>7</v>
      </c>
      <c r="B8" t="s">
        <v>374</v>
      </c>
      <c r="C8" t="s">
        <v>432</v>
      </c>
      <c r="D8" t="s">
        <v>433</v>
      </c>
      <c r="E8" t="s">
        <v>434</v>
      </c>
      <c r="F8" t="s">
        <v>435</v>
      </c>
    </row>
    <row r="9" spans="1:10" x14ac:dyDescent="0.35">
      <c r="A9">
        <v>8</v>
      </c>
      <c r="B9" t="s">
        <v>374</v>
      </c>
      <c r="C9" t="s">
        <v>418</v>
      </c>
      <c r="D9" t="s">
        <v>436</v>
      </c>
      <c r="E9" t="s">
        <v>437</v>
      </c>
      <c r="F9" t="s">
        <v>438</v>
      </c>
      <c r="G9" t="s">
        <v>439</v>
      </c>
      <c r="H9" t="s">
        <v>440</v>
      </c>
      <c r="I9" t="s">
        <v>441</v>
      </c>
      <c r="J9" t="s">
        <v>442</v>
      </c>
    </row>
    <row r="10" spans="1:10" x14ac:dyDescent="0.35">
      <c r="A10">
        <v>9</v>
      </c>
      <c r="B10" t="s">
        <v>374</v>
      </c>
      <c r="C10" t="s">
        <v>443</v>
      </c>
      <c r="D10" t="s">
        <v>404</v>
      </c>
      <c r="E10" t="s">
        <v>444</v>
      </c>
      <c r="F10" t="s">
        <v>445</v>
      </c>
      <c r="G10" t="s">
        <v>446</v>
      </c>
      <c r="H10" t="s">
        <v>447</v>
      </c>
      <c r="I10" t="s">
        <v>448</v>
      </c>
      <c r="J10" t="s">
        <v>449</v>
      </c>
    </row>
    <row r="11" spans="1:10" x14ac:dyDescent="0.35">
      <c r="A11">
        <v>10</v>
      </c>
      <c r="B11" t="s">
        <v>374</v>
      </c>
      <c r="C11" t="s">
        <v>450</v>
      </c>
      <c r="D11" t="s">
        <v>404</v>
      </c>
      <c r="E11" t="s">
        <v>451</v>
      </c>
      <c r="F11" t="s">
        <v>452</v>
      </c>
      <c r="G11" t="s">
        <v>453</v>
      </c>
      <c r="H11" t="s">
        <v>454</v>
      </c>
      <c r="I11" t="s">
        <v>455</v>
      </c>
      <c r="J11" t="s">
        <v>456</v>
      </c>
    </row>
    <row r="12" spans="1:10" x14ac:dyDescent="0.35">
      <c r="A12">
        <v>11</v>
      </c>
      <c r="B12" t="s">
        <v>457</v>
      </c>
      <c r="C12" t="s">
        <v>458</v>
      </c>
      <c r="D12" t="s">
        <v>404</v>
      </c>
      <c r="E12" t="s">
        <v>459</v>
      </c>
      <c r="F12" t="s">
        <v>460</v>
      </c>
      <c r="G12" t="s">
        <v>461</v>
      </c>
      <c r="H12" t="s">
        <v>454</v>
      </c>
      <c r="I12" t="s">
        <v>462</v>
      </c>
      <c r="J12" t="s">
        <v>463</v>
      </c>
    </row>
    <row r="13" spans="1:10" x14ac:dyDescent="0.35">
      <c r="A13">
        <v>12</v>
      </c>
      <c r="B13" t="s">
        <v>457</v>
      </c>
      <c r="C13" t="s">
        <v>418</v>
      </c>
      <c r="D13" t="s">
        <v>404</v>
      </c>
      <c r="E13" t="s">
        <v>464</v>
      </c>
      <c r="F13" t="s">
        <v>465</v>
      </c>
      <c r="G13" t="s">
        <v>466</v>
      </c>
      <c r="H13" t="s">
        <v>467</v>
      </c>
      <c r="I13" t="s">
        <v>468</v>
      </c>
      <c r="J13" t="s">
        <v>469</v>
      </c>
    </row>
    <row r="14" spans="1:10" x14ac:dyDescent="0.35">
      <c r="A14">
        <v>13</v>
      </c>
      <c r="B14" t="s">
        <v>457</v>
      </c>
      <c r="C14" t="s">
        <v>470</v>
      </c>
      <c r="D14" t="s">
        <v>471</v>
      </c>
      <c r="E14" t="s">
        <v>472</v>
      </c>
      <c r="F14" t="s">
        <v>473</v>
      </c>
      <c r="G14" t="s">
        <v>474</v>
      </c>
      <c r="H14" t="s">
        <v>475</v>
      </c>
      <c r="I14" t="s">
        <v>476</v>
      </c>
      <c r="J14" t="s">
        <v>477</v>
      </c>
    </row>
    <row r="15" spans="1:10" x14ac:dyDescent="0.35">
      <c r="A15">
        <v>14</v>
      </c>
      <c r="B15" t="s">
        <v>34</v>
      </c>
      <c r="C15" t="s">
        <v>478</v>
      </c>
      <c r="D15" t="s">
        <v>479</v>
      </c>
      <c r="E15" t="s">
        <v>480</v>
      </c>
      <c r="F15" t="s">
        <v>481</v>
      </c>
      <c r="G15" t="s">
        <v>482</v>
      </c>
      <c r="H15" t="s">
        <v>400</v>
      </c>
      <c r="I15" t="s">
        <v>483</v>
      </c>
      <c r="J15" t="s">
        <v>484</v>
      </c>
    </row>
    <row r="16" spans="1:10" x14ac:dyDescent="0.35">
      <c r="A16">
        <v>15</v>
      </c>
      <c r="B16" t="s">
        <v>34</v>
      </c>
      <c r="C16" t="s">
        <v>485</v>
      </c>
      <c r="D16" t="s">
        <v>404</v>
      </c>
      <c r="E16" t="s">
        <v>486</v>
      </c>
      <c r="F16" t="s">
        <v>487</v>
      </c>
      <c r="G16" t="s">
        <v>488</v>
      </c>
      <c r="H16" t="s">
        <v>475</v>
      </c>
      <c r="I16" t="s">
        <v>489</v>
      </c>
      <c r="J16" t="s">
        <v>490</v>
      </c>
    </row>
    <row r="17" spans="1:10" x14ac:dyDescent="0.35">
      <c r="A17">
        <v>16</v>
      </c>
      <c r="B17" t="s">
        <v>34</v>
      </c>
      <c r="C17" t="s">
        <v>491</v>
      </c>
      <c r="D17" t="s">
        <v>404</v>
      </c>
      <c r="E17" t="s">
        <v>492</v>
      </c>
      <c r="F17" t="s">
        <v>493</v>
      </c>
      <c r="G17" t="s">
        <v>494</v>
      </c>
      <c r="H17" t="s">
        <v>495</v>
      </c>
      <c r="I17" t="s">
        <v>496</v>
      </c>
      <c r="J17" t="s">
        <v>497</v>
      </c>
    </row>
    <row r="18" spans="1:10" x14ac:dyDescent="0.35">
      <c r="A18">
        <v>17</v>
      </c>
      <c r="B18" t="s">
        <v>34</v>
      </c>
      <c r="C18" t="s">
        <v>498</v>
      </c>
      <c r="D18" t="s">
        <v>404</v>
      </c>
      <c r="E18" t="s">
        <v>499</v>
      </c>
      <c r="F18" t="s">
        <v>500</v>
      </c>
      <c r="G18" t="s">
        <v>501</v>
      </c>
      <c r="H18" t="s">
        <v>475</v>
      </c>
      <c r="I18" t="s">
        <v>502</v>
      </c>
      <c r="J18" t="s">
        <v>503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workbookViewId="0"/>
  </sheetViews>
  <sheetFormatPr defaultRowHeight="14.5" x14ac:dyDescent="0.35"/>
  <sheetData>
    <row r="1" spans="1:10" x14ac:dyDescent="0.35">
      <c r="A1" t="s">
        <v>1</v>
      </c>
      <c r="B1" t="s">
        <v>2</v>
      </c>
      <c r="C1" t="s">
        <v>504</v>
      </c>
      <c r="D1" t="s">
        <v>505</v>
      </c>
      <c r="E1" t="s">
        <v>27</v>
      </c>
      <c r="F1" t="s">
        <v>227</v>
      </c>
      <c r="G1" t="s">
        <v>506</v>
      </c>
      <c r="H1" t="s">
        <v>507</v>
      </c>
      <c r="I1" t="s">
        <v>232</v>
      </c>
      <c r="J1" t="s">
        <v>508</v>
      </c>
    </row>
    <row r="2" spans="1:10" x14ac:dyDescent="0.35">
      <c r="A2" t="s">
        <v>21</v>
      </c>
      <c r="B2" t="s">
        <v>22</v>
      </c>
      <c r="C2" t="s">
        <v>509</v>
      </c>
      <c r="D2">
        <f>COUNTIF('Test Cases'!$C:$C, B2)</f>
        <v>7</v>
      </c>
      <c r="E2">
        <f>COUNTIFS('Test Cases'!$C:$C, B2, 'Test Cases'!$H:$H, "Auto")</f>
        <v>7</v>
      </c>
      <c r="F2">
        <f>COUNTIFS('Test Cases'!$C:$C, B2, 'Test Cases'!$H:$H, "Manual")</f>
        <v>0</v>
      </c>
      <c r="G2">
        <f>COUNTIFS('Test Cases'!$C:$C, B2, 'Test Cases'!$N:$N, "Pass")</f>
        <v>6</v>
      </c>
      <c r="H2">
        <f>COUNTIFS('Test Cases'!$C:$C, B2, 'Test Cases'!$N:$N, "Fail")</f>
        <v>1</v>
      </c>
      <c r="I2">
        <f>COUNTIFS('Test Cases'!$C:$C, B2, 'Test Cases'!$N:$N, "Not Run")</f>
        <v>0</v>
      </c>
      <c r="J2" s="3">
        <f t="shared" ref="J2:J15" si="0">IF(D2&gt;0, G2/D2, 0)</f>
        <v>0.8571428571428571</v>
      </c>
    </row>
    <row r="3" spans="1:10" x14ac:dyDescent="0.35">
      <c r="A3" t="s">
        <v>21</v>
      </c>
      <c r="B3" t="s">
        <v>90</v>
      </c>
      <c r="C3" t="s">
        <v>510</v>
      </c>
      <c r="D3">
        <f>COUNTIF('Test Cases'!$C:$C, B3)</f>
        <v>1</v>
      </c>
      <c r="E3">
        <f>COUNTIFS('Test Cases'!$C:$C, B3, 'Test Cases'!$H:$H, "Auto")</f>
        <v>1</v>
      </c>
      <c r="F3">
        <f>COUNTIFS('Test Cases'!$C:$C, B3, 'Test Cases'!$H:$H, "Manual")</f>
        <v>0</v>
      </c>
      <c r="G3">
        <f>COUNTIFS('Test Cases'!$C:$C, B3, 'Test Cases'!$N:$N, "Pass")</f>
        <v>1</v>
      </c>
      <c r="H3">
        <f>COUNTIFS('Test Cases'!$C:$C, B3, 'Test Cases'!$N:$N, "Fail")</f>
        <v>0</v>
      </c>
      <c r="I3">
        <f>COUNTIFS('Test Cases'!$C:$C, B3, 'Test Cases'!$N:$N, "Not Run")</f>
        <v>0</v>
      </c>
      <c r="J3" s="3">
        <f t="shared" si="0"/>
        <v>1</v>
      </c>
    </row>
    <row r="4" spans="1:10" x14ac:dyDescent="0.35">
      <c r="A4" t="s">
        <v>21</v>
      </c>
      <c r="B4" t="s">
        <v>102</v>
      </c>
      <c r="C4" t="s">
        <v>511</v>
      </c>
      <c r="D4">
        <f>COUNTIF('Test Cases'!$C:$C, B4)</f>
        <v>3</v>
      </c>
      <c r="E4">
        <f>COUNTIFS('Test Cases'!$C:$C, B4, 'Test Cases'!$H:$H, "Auto")</f>
        <v>3</v>
      </c>
      <c r="F4">
        <f>COUNTIFS('Test Cases'!$C:$C, B4, 'Test Cases'!$H:$H, "Manual")</f>
        <v>0</v>
      </c>
      <c r="G4">
        <f>COUNTIFS('Test Cases'!$C:$C, B4, 'Test Cases'!$N:$N, "Pass")</f>
        <v>3</v>
      </c>
      <c r="H4">
        <f>COUNTIFS('Test Cases'!$C:$C, B4, 'Test Cases'!$N:$N, "Fail")</f>
        <v>0</v>
      </c>
      <c r="I4">
        <f>COUNTIFS('Test Cases'!$C:$C, B4, 'Test Cases'!$N:$N, "Not Run")</f>
        <v>0</v>
      </c>
      <c r="J4" s="3">
        <f t="shared" si="0"/>
        <v>1</v>
      </c>
    </row>
    <row r="5" spans="1:10" x14ac:dyDescent="0.35">
      <c r="A5" t="s">
        <v>21</v>
      </c>
      <c r="B5" t="s">
        <v>130</v>
      </c>
      <c r="C5" t="s">
        <v>512</v>
      </c>
      <c r="D5">
        <f>COUNTIF('Test Cases'!$C:$C, B5)</f>
        <v>1</v>
      </c>
      <c r="E5">
        <f>COUNTIFS('Test Cases'!$C:$C, B5, 'Test Cases'!$H:$H, "Auto")</f>
        <v>1</v>
      </c>
      <c r="F5">
        <f>COUNTIFS('Test Cases'!$C:$C, B5, 'Test Cases'!$H:$H, "Manual")</f>
        <v>0</v>
      </c>
      <c r="G5">
        <f>COUNTIFS('Test Cases'!$C:$C, B5, 'Test Cases'!$N:$N, "Pass")</f>
        <v>1</v>
      </c>
      <c r="H5">
        <f>COUNTIFS('Test Cases'!$C:$C, B5, 'Test Cases'!$N:$N, "Fail")</f>
        <v>0</v>
      </c>
      <c r="I5">
        <f>COUNTIFS('Test Cases'!$C:$C, B5, 'Test Cases'!$N:$N, "Not Run")</f>
        <v>0</v>
      </c>
      <c r="J5" s="3">
        <f t="shared" si="0"/>
        <v>1</v>
      </c>
    </row>
    <row r="6" spans="1:10" x14ac:dyDescent="0.35">
      <c r="A6" s="4" t="s">
        <v>513</v>
      </c>
      <c r="B6" s="4" t="s">
        <v>514</v>
      </c>
      <c r="C6" s="4" t="s">
        <v>515</v>
      </c>
      <c r="D6" s="4">
        <f t="shared" ref="D6:I6" si="1">SUM(D2:D5)</f>
        <v>12</v>
      </c>
      <c r="E6" s="4">
        <f t="shared" si="1"/>
        <v>12</v>
      </c>
      <c r="F6" s="4">
        <f t="shared" si="1"/>
        <v>0</v>
      </c>
      <c r="G6" s="4">
        <f t="shared" si="1"/>
        <v>11</v>
      </c>
      <c r="H6" s="4">
        <f t="shared" si="1"/>
        <v>1</v>
      </c>
      <c r="I6" s="4">
        <f t="shared" si="1"/>
        <v>0</v>
      </c>
      <c r="J6" s="5">
        <f t="shared" si="0"/>
        <v>0.91666666666666663</v>
      </c>
    </row>
    <row r="7" spans="1:10" x14ac:dyDescent="0.35">
      <c r="A7" t="s">
        <v>516</v>
      </c>
      <c r="B7" t="s">
        <v>141</v>
      </c>
      <c r="C7" t="s">
        <v>517</v>
      </c>
      <c r="D7">
        <f>COUNTIF('Test Cases'!$C:$C, B7)</f>
        <v>5</v>
      </c>
      <c r="E7">
        <f>COUNTIFS('Test Cases'!$C:$C, B7, 'Test Cases'!$H:$H, "Auto")</f>
        <v>5</v>
      </c>
      <c r="F7">
        <f>COUNTIFS('Test Cases'!$C:$C, B7, 'Test Cases'!$H:$H, "Manual")</f>
        <v>0</v>
      </c>
      <c r="G7">
        <f>COUNTIFS('Test Cases'!$C:$C, B7, 'Test Cases'!$N:$N, "Pass")</f>
        <v>5</v>
      </c>
      <c r="H7">
        <f>COUNTIFS('Test Cases'!$C:$C, B7, 'Test Cases'!$N:$N, "Fail")</f>
        <v>0</v>
      </c>
      <c r="I7">
        <f>COUNTIFS('Test Cases'!$C:$C, B7, 'Test Cases'!$N:$N, "Not Run")</f>
        <v>0</v>
      </c>
      <c r="J7" s="3">
        <f t="shared" si="0"/>
        <v>1</v>
      </c>
    </row>
    <row r="8" spans="1:10" x14ac:dyDescent="0.35">
      <c r="A8" t="s">
        <v>516</v>
      </c>
      <c r="B8" t="s">
        <v>190</v>
      </c>
      <c r="C8" t="s">
        <v>518</v>
      </c>
      <c r="D8">
        <f>COUNTIF('Test Cases'!$C:$C, B8)</f>
        <v>2</v>
      </c>
      <c r="E8">
        <f>COUNTIFS('Test Cases'!$C:$C, B8, 'Test Cases'!$H:$H, "Auto")</f>
        <v>2</v>
      </c>
      <c r="F8">
        <f>COUNTIFS('Test Cases'!$C:$C, B8, 'Test Cases'!$H:$H, "Manual")</f>
        <v>0</v>
      </c>
      <c r="G8">
        <f>COUNTIFS('Test Cases'!$C:$C, B8, 'Test Cases'!$N:$N, "Pass")</f>
        <v>2</v>
      </c>
      <c r="H8">
        <f>COUNTIFS('Test Cases'!$C:$C, B8, 'Test Cases'!$N:$N, "Fail")</f>
        <v>0</v>
      </c>
      <c r="I8">
        <f>COUNTIFS('Test Cases'!$C:$C, B8, 'Test Cases'!$N:$N, "Not Run")</f>
        <v>0</v>
      </c>
      <c r="J8" s="3">
        <f t="shared" si="0"/>
        <v>1</v>
      </c>
    </row>
    <row r="9" spans="1:10" x14ac:dyDescent="0.35">
      <c r="A9" t="s">
        <v>516</v>
      </c>
      <c r="B9" t="s">
        <v>223</v>
      </c>
      <c r="C9" t="s">
        <v>519</v>
      </c>
      <c r="D9">
        <f>COUNTIF('Test Cases'!$C:$C, B9)</f>
        <v>4</v>
      </c>
      <c r="E9">
        <f>COUNTIFS('Test Cases'!$C:$C, B9, 'Test Cases'!$H:$H, "Auto")</f>
        <v>0</v>
      </c>
      <c r="F9">
        <f>COUNTIFS('Test Cases'!$C:$C, B9, 'Test Cases'!$H:$H, "Manual")</f>
        <v>4</v>
      </c>
      <c r="G9">
        <f>COUNTIFS('Test Cases'!$C:$C, B9, 'Test Cases'!$N:$N, "Pass")</f>
        <v>0</v>
      </c>
      <c r="H9">
        <f>COUNTIFS('Test Cases'!$C:$C, B9, 'Test Cases'!$N:$N, "Fail")</f>
        <v>0</v>
      </c>
      <c r="I9">
        <f>COUNTIFS('Test Cases'!$C:$C, B9, 'Test Cases'!$N:$N, "Not Run")</f>
        <v>4</v>
      </c>
      <c r="J9" s="3">
        <f t="shared" si="0"/>
        <v>0</v>
      </c>
    </row>
    <row r="10" spans="1:10" x14ac:dyDescent="0.35">
      <c r="A10" s="4" t="s">
        <v>520</v>
      </c>
      <c r="B10" s="4" t="s">
        <v>521</v>
      </c>
      <c r="C10" s="4" t="s">
        <v>522</v>
      </c>
      <c r="D10" s="4">
        <f t="shared" ref="D10:I10" si="2">SUM(D7:D9)</f>
        <v>11</v>
      </c>
      <c r="E10" s="4">
        <f t="shared" si="2"/>
        <v>7</v>
      </c>
      <c r="F10" s="4">
        <f t="shared" si="2"/>
        <v>4</v>
      </c>
      <c r="G10" s="4">
        <f t="shared" si="2"/>
        <v>7</v>
      </c>
      <c r="H10" s="4">
        <f t="shared" si="2"/>
        <v>0</v>
      </c>
      <c r="I10" s="4">
        <f t="shared" si="2"/>
        <v>4</v>
      </c>
      <c r="J10" s="5">
        <f t="shared" si="0"/>
        <v>0.63636363636363635</v>
      </c>
    </row>
    <row r="11" spans="1:10" x14ac:dyDescent="0.35">
      <c r="A11" t="s">
        <v>210</v>
      </c>
      <c r="B11" t="s">
        <v>211</v>
      </c>
      <c r="C11" t="s">
        <v>523</v>
      </c>
      <c r="D11">
        <f>COUNTIF('Test Cases'!$C:$C, B11)</f>
        <v>1</v>
      </c>
      <c r="E11">
        <f>COUNTIFS('Test Cases'!$C:$C, B11, 'Test Cases'!$H:$H, "Auto")</f>
        <v>1</v>
      </c>
      <c r="F11">
        <f>COUNTIFS('Test Cases'!$C:$C, B11, 'Test Cases'!$H:$H, "Manual")</f>
        <v>0</v>
      </c>
      <c r="G11">
        <f>COUNTIFS('Test Cases'!$C:$C, B11, 'Test Cases'!$N:$N, "Pass")</f>
        <v>1</v>
      </c>
      <c r="H11">
        <f>COUNTIFS('Test Cases'!$C:$C, B11, 'Test Cases'!$N:$N, "Fail")</f>
        <v>0</v>
      </c>
      <c r="I11">
        <f>COUNTIFS('Test Cases'!$C:$C, B11, 'Test Cases'!$N:$N, "Not Run")</f>
        <v>0</v>
      </c>
      <c r="J11" s="3">
        <f t="shared" si="0"/>
        <v>1</v>
      </c>
    </row>
    <row r="12" spans="1:10" x14ac:dyDescent="0.35">
      <c r="A12" t="s">
        <v>210</v>
      </c>
      <c r="B12" t="s">
        <v>264</v>
      </c>
      <c r="C12" t="s">
        <v>265</v>
      </c>
      <c r="D12">
        <f>COUNTIF('Test Cases'!$C:$C, B12)</f>
        <v>3</v>
      </c>
      <c r="E12">
        <f>COUNTIFS('Test Cases'!$C:$C, B12, 'Test Cases'!$H:$H, "Auto")</f>
        <v>0</v>
      </c>
      <c r="F12">
        <f>COUNTIFS('Test Cases'!$C:$C, B12, 'Test Cases'!$H:$H, "Manual")</f>
        <v>3</v>
      </c>
      <c r="G12">
        <f>COUNTIFS('Test Cases'!$C:$C, B12, 'Test Cases'!$N:$N, "Pass")</f>
        <v>0</v>
      </c>
      <c r="H12">
        <f>COUNTIFS('Test Cases'!$C:$C, B12, 'Test Cases'!$N:$N, "Fail")</f>
        <v>0</v>
      </c>
      <c r="I12">
        <f>COUNTIFS('Test Cases'!$C:$C, B12, 'Test Cases'!$N:$N, "Not Run")</f>
        <v>3</v>
      </c>
      <c r="J12" s="3">
        <f t="shared" si="0"/>
        <v>0</v>
      </c>
    </row>
    <row r="13" spans="1:10" x14ac:dyDescent="0.35">
      <c r="A13" t="s">
        <v>210</v>
      </c>
      <c r="B13" t="s">
        <v>291</v>
      </c>
      <c r="C13" t="s">
        <v>292</v>
      </c>
      <c r="D13">
        <f>COUNTIF('Test Cases'!$C:$C, B13)</f>
        <v>1</v>
      </c>
      <c r="E13">
        <f>COUNTIFS('Test Cases'!$C:$C, B13, 'Test Cases'!$H:$H, "Auto")</f>
        <v>0</v>
      </c>
      <c r="F13">
        <f>COUNTIFS('Test Cases'!$C:$C, B13, 'Test Cases'!$H:$H, "Manual")</f>
        <v>1</v>
      </c>
      <c r="G13">
        <f>COUNTIFS('Test Cases'!$C:$C, B13, 'Test Cases'!$N:$N, "Pass")</f>
        <v>0</v>
      </c>
      <c r="H13">
        <f>COUNTIFS('Test Cases'!$C:$C, B13, 'Test Cases'!$N:$N, "Fail")</f>
        <v>0</v>
      </c>
      <c r="I13">
        <f>COUNTIFS('Test Cases'!$C:$C, B13, 'Test Cases'!$N:$N, "Not Run")</f>
        <v>1</v>
      </c>
      <c r="J13" s="3">
        <f t="shared" si="0"/>
        <v>0</v>
      </c>
    </row>
    <row r="14" spans="1:10" x14ac:dyDescent="0.35">
      <c r="A14" s="4" t="s">
        <v>524</v>
      </c>
      <c r="B14" s="4" t="s">
        <v>525</v>
      </c>
      <c r="C14" s="4" t="s">
        <v>526</v>
      </c>
      <c r="D14" s="4">
        <f t="shared" ref="D14:I14" si="3">SUM(D11:D13)</f>
        <v>5</v>
      </c>
      <c r="E14" s="4">
        <f t="shared" si="3"/>
        <v>1</v>
      </c>
      <c r="F14" s="4">
        <f t="shared" si="3"/>
        <v>4</v>
      </c>
      <c r="G14" s="4">
        <f t="shared" si="3"/>
        <v>1</v>
      </c>
      <c r="H14" s="4">
        <f t="shared" si="3"/>
        <v>0</v>
      </c>
      <c r="I14" s="4">
        <f t="shared" si="3"/>
        <v>4</v>
      </c>
      <c r="J14" s="5">
        <f t="shared" si="0"/>
        <v>0.2</v>
      </c>
    </row>
    <row r="15" spans="1:10" x14ac:dyDescent="0.35">
      <c r="A15" s="4" t="s">
        <v>527</v>
      </c>
      <c r="B15" s="4" t="s">
        <v>528</v>
      </c>
      <c r="C15" s="4" t="s">
        <v>529</v>
      </c>
      <c r="D15" s="4">
        <f t="shared" ref="D15:I15" si="4">D6+D10+D14</f>
        <v>28</v>
      </c>
      <c r="E15" s="4">
        <f t="shared" si="4"/>
        <v>20</v>
      </c>
      <c r="F15" s="4">
        <f t="shared" si="4"/>
        <v>8</v>
      </c>
      <c r="G15" s="4">
        <f t="shared" si="4"/>
        <v>19</v>
      </c>
      <c r="H15" s="4">
        <f t="shared" si="4"/>
        <v>1</v>
      </c>
      <c r="I15" s="4">
        <f t="shared" si="4"/>
        <v>8</v>
      </c>
      <c r="J15" s="5">
        <f t="shared" si="0"/>
        <v>0.6785714285714286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9"/>
  <sheetViews>
    <sheetView workbookViewId="0"/>
  </sheetViews>
  <sheetFormatPr defaultRowHeight="14.5" x14ac:dyDescent="0.35"/>
  <sheetData>
    <row r="1" spans="1:9" x14ac:dyDescent="0.35">
      <c r="A1" t="s">
        <v>530</v>
      </c>
      <c r="B1" t="s">
        <v>531</v>
      </c>
      <c r="C1" t="s">
        <v>2</v>
      </c>
      <c r="D1" t="s">
        <v>504</v>
      </c>
      <c r="E1" t="s">
        <v>3</v>
      </c>
      <c r="F1" t="s">
        <v>0</v>
      </c>
      <c r="G1" t="s">
        <v>532</v>
      </c>
      <c r="H1" t="s">
        <v>533</v>
      </c>
      <c r="I1" t="s">
        <v>362</v>
      </c>
    </row>
    <row r="2" spans="1:9" x14ac:dyDescent="0.35">
      <c r="A2" t="s">
        <v>534</v>
      </c>
      <c r="B2" t="s">
        <v>535</v>
      </c>
      <c r="C2" t="s">
        <v>22</v>
      </c>
      <c r="D2" t="s">
        <v>509</v>
      </c>
      <c r="E2" t="s">
        <v>23</v>
      </c>
      <c r="F2" t="s">
        <v>20</v>
      </c>
      <c r="G2" t="s">
        <v>24</v>
      </c>
      <c r="H2" t="s">
        <v>27</v>
      </c>
      <c r="I2" t="s">
        <v>33</v>
      </c>
    </row>
    <row r="3" spans="1:9" x14ac:dyDescent="0.35">
      <c r="A3" t="s">
        <v>534</v>
      </c>
      <c r="B3" t="s">
        <v>535</v>
      </c>
      <c r="C3" t="s">
        <v>22</v>
      </c>
      <c r="D3" t="s">
        <v>509</v>
      </c>
      <c r="E3" t="s">
        <v>23</v>
      </c>
      <c r="F3" t="s">
        <v>38</v>
      </c>
      <c r="G3" t="s">
        <v>39</v>
      </c>
      <c r="H3" t="s">
        <v>27</v>
      </c>
      <c r="I3" t="s">
        <v>33</v>
      </c>
    </row>
    <row r="4" spans="1:9" x14ac:dyDescent="0.35">
      <c r="A4" t="s">
        <v>534</v>
      </c>
      <c r="B4" t="s">
        <v>535</v>
      </c>
      <c r="C4" t="s">
        <v>22</v>
      </c>
      <c r="D4" t="s">
        <v>509</v>
      </c>
      <c r="E4" t="s">
        <v>46</v>
      </c>
      <c r="F4" t="s">
        <v>45</v>
      </c>
      <c r="G4" t="s">
        <v>47</v>
      </c>
      <c r="H4" t="s">
        <v>27</v>
      </c>
      <c r="I4" t="s">
        <v>33</v>
      </c>
    </row>
    <row r="5" spans="1:9" x14ac:dyDescent="0.35">
      <c r="A5" t="s">
        <v>534</v>
      </c>
      <c r="B5" t="s">
        <v>535</v>
      </c>
      <c r="C5" t="s">
        <v>22</v>
      </c>
      <c r="D5" t="s">
        <v>509</v>
      </c>
      <c r="E5" t="s">
        <v>46</v>
      </c>
      <c r="F5" t="s">
        <v>53</v>
      </c>
      <c r="G5" t="s">
        <v>54</v>
      </c>
      <c r="H5" t="s">
        <v>27</v>
      </c>
      <c r="I5" t="s">
        <v>33</v>
      </c>
    </row>
    <row r="6" spans="1:9" x14ac:dyDescent="0.35">
      <c r="A6" t="s">
        <v>534</v>
      </c>
      <c r="B6" t="s">
        <v>535</v>
      </c>
      <c r="C6" t="s">
        <v>22</v>
      </c>
      <c r="D6" t="s">
        <v>509</v>
      </c>
      <c r="E6" t="s">
        <v>62</v>
      </c>
      <c r="F6" t="s">
        <v>61</v>
      </c>
      <c r="G6" t="s">
        <v>63</v>
      </c>
      <c r="H6" t="s">
        <v>27</v>
      </c>
      <c r="I6" t="s">
        <v>33</v>
      </c>
    </row>
    <row r="7" spans="1:9" x14ac:dyDescent="0.35">
      <c r="A7" t="s">
        <v>534</v>
      </c>
      <c r="B7" t="s">
        <v>535</v>
      </c>
      <c r="C7" t="s">
        <v>22</v>
      </c>
      <c r="D7" t="s">
        <v>509</v>
      </c>
      <c r="E7" t="s">
        <v>71</v>
      </c>
      <c r="F7" t="s">
        <v>70</v>
      </c>
      <c r="G7" t="s">
        <v>72</v>
      </c>
      <c r="H7" t="s">
        <v>27</v>
      </c>
      <c r="I7" t="s">
        <v>77</v>
      </c>
    </row>
    <row r="8" spans="1:9" x14ac:dyDescent="0.35">
      <c r="A8" t="s">
        <v>534</v>
      </c>
      <c r="B8" t="s">
        <v>535</v>
      </c>
      <c r="C8" t="s">
        <v>22</v>
      </c>
      <c r="D8" t="s">
        <v>509</v>
      </c>
      <c r="E8" t="s">
        <v>82</v>
      </c>
      <c r="F8" t="s">
        <v>81</v>
      </c>
      <c r="G8" t="s">
        <v>83</v>
      </c>
      <c r="H8" t="s">
        <v>27</v>
      </c>
      <c r="I8" t="s">
        <v>33</v>
      </c>
    </row>
    <row r="9" spans="1:9" x14ac:dyDescent="0.35">
      <c r="A9" t="s">
        <v>534</v>
      </c>
      <c r="B9" t="s">
        <v>535</v>
      </c>
      <c r="C9" t="s">
        <v>90</v>
      </c>
      <c r="D9" t="s">
        <v>510</v>
      </c>
      <c r="E9" t="s">
        <v>91</v>
      </c>
      <c r="F9" t="s">
        <v>89</v>
      </c>
      <c r="G9" t="s">
        <v>92</v>
      </c>
      <c r="H9" t="s">
        <v>27</v>
      </c>
      <c r="I9" t="s">
        <v>33</v>
      </c>
    </row>
    <row r="10" spans="1:9" x14ac:dyDescent="0.35">
      <c r="A10" t="s">
        <v>534</v>
      </c>
      <c r="B10" t="s">
        <v>535</v>
      </c>
      <c r="C10" t="s">
        <v>102</v>
      </c>
      <c r="D10" t="s">
        <v>511</v>
      </c>
      <c r="E10" t="s">
        <v>103</v>
      </c>
      <c r="F10" t="s">
        <v>101</v>
      </c>
      <c r="G10" t="s">
        <v>104</v>
      </c>
      <c r="H10" t="s">
        <v>27</v>
      </c>
      <c r="I10" t="s">
        <v>33</v>
      </c>
    </row>
    <row r="11" spans="1:9" x14ac:dyDescent="0.35">
      <c r="A11" t="s">
        <v>534</v>
      </c>
      <c r="B11" t="s">
        <v>535</v>
      </c>
      <c r="C11" t="s">
        <v>102</v>
      </c>
      <c r="D11" t="s">
        <v>511</v>
      </c>
      <c r="E11" t="s">
        <v>112</v>
      </c>
      <c r="F11" t="s">
        <v>111</v>
      </c>
      <c r="G11" t="s">
        <v>113</v>
      </c>
      <c r="H11" t="s">
        <v>27</v>
      </c>
      <c r="I11" t="s">
        <v>33</v>
      </c>
    </row>
    <row r="12" spans="1:9" x14ac:dyDescent="0.35">
      <c r="A12" t="s">
        <v>534</v>
      </c>
      <c r="B12" t="s">
        <v>535</v>
      </c>
      <c r="C12" t="s">
        <v>102</v>
      </c>
      <c r="D12" t="s">
        <v>511</v>
      </c>
      <c r="E12" t="s">
        <v>121</v>
      </c>
      <c r="F12" t="s">
        <v>120</v>
      </c>
      <c r="G12" t="s">
        <v>122</v>
      </c>
      <c r="H12" t="s">
        <v>27</v>
      </c>
      <c r="I12" t="s">
        <v>33</v>
      </c>
    </row>
    <row r="13" spans="1:9" x14ac:dyDescent="0.35">
      <c r="A13" t="s">
        <v>534</v>
      </c>
      <c r="B13" t="s">
        <v>535</v>
      </c>
      <c r="C13" t="s">
        <v>130</v>
      </c>
      <c r="D13" t="s">
        <v>512</v>
      </c>
      <c r="E13" t="s">
        <v>131</v>
      </c>
      <c r="F13" t="s">
        <v>129</v>
      </c>
      <c r="G13" t="s">
        <v>132</v>
      </c>
      <c r="H13" t="s">
        <v>27</v>
      </c>
      <c r="I13" t="s">
        <v>33</v>
      </c>
    </row>
    <row r="14" spans="1:9" x14ac:dyDescent="0.35">
      <c r="A14" t="s">
        <v>151</v>
      </c>
      <c r="B14" t="s">
        <v>536</v>
      </c>
      <c r="C14" t="s">
        <v>141</v>
      </c>
      <c r="D14" t="s">
        <v>517</v>
      </c>
      <c r="E14" t="s">
        <v>142</v>
      </c>
      <c r="F14" t="s">
        <v>139</v>
      </c>
      <c r="G14" t="s">
        <v>143</v>
      </c>
      <c r="H14" t="s">
        <v>27</v>
      </c>
      <c r="I14" t="s">
        <v>33</v>
      </c>
    </row>
    <row r="15" spans="1:9" x14ac:dyDescent="0.35">
      <c r="A15" t="s">
        <v>151</v>
      </c>
      <c r="B15" t="s">
        <v>536</v>
      </c>
      <c r="C15" t="s">
        <v>141</v>
      </c>
      <c r="D15" t="s">
        <v>517</v>
      </c>
      <c r="E15" t="s">
        <v>153</v>
      </c>
      <c r="F15" t="s">
        <v>152</v>
      </c>
      <c r="G15" t="s">
        <v>154</v>
      </c>
      <c r="H15" t="s">
        <v>27</v>
      </c>
      <c r="I15" t="s">
        <v>33</v>
      </c>
    </row>
    <row r="16" spans="1:9" x14ac:dyDescent="0.35">
      <c r="A16" t="s">
        <v>151</v>
      </c>
      <c r="B16" t="s">
        <v>536</v>
      </c>
      <c r="C16" t="s">
        <v>141</v>
      </c>
      <c r="D16" t="s">
        <v>517</v>
      </c>
      <c r="E16" t="s">
        <v>162</v>
      </c>
      <c r="F16" t="s">
        <v>161</v>
      </c>
      <c r="G16" t="s">
        <v>163</v>
      </c>
      <c r="H16" t="s">
        <v>27</v>
      </c>
      <c r="I16" t="s">
        <v>33</v>
      </c>
    </row>
    <row r="17" spans="1:9" x14ac:dyDescent="0.35">
      <c r="A17" t="s">
        <v>151</v>
      </c>
      <c r="B17" t="s">
        <v>536</v>
      </c>
      <c r="C17" t="s">
        <v>141</v>
      </c>
      <c r="D17" t="s">
        <v>517</v>
      </c>
      <c r="E17" t="s">
        <v>171</v>
      </c>
      <c r="F17" t="s">
        <v>170</v>
      </c>
      <c r="G17" t="s">
        <v>172</v>
      </c>
      <c r="H17" t="s">
        <v>27</v>
      </c>
      <c r="I17" t="s">
        <v>33</v>
      </c>
    </row>
    <row r="18" spans="1:9" x14ac:dyDescent="0.35">
      <c r="A18" t="s">
        <v>151</v>
      </c>
      <c r="B18" t="s">
        <v>536</v>
      </c>
      <c r="C18" t="s">
        <v>141</v>
      </c>
      <c r="D18" t="s">
        <v>517</v>
      </c>
      <c r="E18" t="s">
        <v>181</v>
      </c>
      <c r="F18" t="s">
        <v>180</v>
      </c>
      <c r="G18" t="s">
        <v>182</v>
      </c>
      <c r="H18" t="s">
        <v>27</v>
      </c>
      <c r="I18" t="s">
        <v>33</v>
      </c>
    </row>
    <row r="19" spans="1:9" x14ac:dyDescent="0.35">
      <c r="A19" t="s">
        <v>151</v>
      </c>
      <c r="B19" t="s">
        <v>536</v>
      </c>
      <c r="C19" t="s">
        <v>190</v>
      </c>
      <c r="D19" t="s">
        <v>518</v>
      </c>
      <c r="E19" t="s">
        <v>191</v>
      </c>
      <c r="F19" t="s">
        <v>189</v>
      </c>
      <c r="G19" t="s">
        <v>192</v>
      </c>
      <c r="H19" t="s">
        <v>27</v>
      </c>
      <c r="I19" t="s">
        <v>33</v>
      </c>
    </row>
    <row r="20" spans="1:9" x14ac:dyDescent="0.35">
      <c r="A20" t="s">
        <v>151</v>
      </c>
      <c r="B20" t="s">
        <v>536</v>
      </c>
      <c r="C20" t="s">
        <v>190</v>
      </c>
      <c r="D20" t="s">
        <v>518</v>
      </c>
      <c r="E20" t="s">
        <v>202</v>
      </c>
      <c r="F20" t="s">
        <v>200</v>
      </c>
      <c r="G20" t="s">
        <v>203</v>
      </c>
      <c r="H20" t="s">
        <v>27</v>
      </c>
      <c r="I20" t="s">
        <v>33</v>
      </c>
    </row>
    <row r="21" spans="1:9" x14ac:dyDescent="0.35">
      <c r="A21" t="s">
        <v>537</v>
      </c>
      <c r="B21" t="s">
        <v>538</v>
      </c>
      <c r="C21" t="s">
        <v>211</v>
      </c>
      <c r="D21" t="s">
        <v>523</v>
      </c>
      <c r="E21" t="s">
        <v>212</v>
      </c>
      <c r="F21" t="s">
        <v>209</v>
      </c>
      <c r="G21" t="s">
        <v>213</v>
      </c>
      <c r="H21" t="s">
        <v>27</v>
      </c>
      <c r="I21" t="s">
        <v>33</v>
      </c>
    </row>
    <row r="22" spans="1:9" x14ac:dyDescent="0.35">
      <c r="A22" t="s">
        <v>151</v>
      </c>
      <c r="B22" t="s">
        <v>536</v>
      </c>
      <c r="C22" t="s">
        <v>223</v>
      </c>
      <c r="D22" t="s">
        <v>519</v>
      </c>
      <c r="E22" t="s">
        <v>224</v>
      </c>
      <c r="F22" t="s">
        <v>222</v>
      </c>
      <c r="G22" t="s">
        <v>225</v>
      </c>
      <c r="H22" t="s">
        <v>227</v>
      </c>
      <c r="I22" t="s">
        <v>232</v>
      </c>
    </row>
    <row r="23" spans="1:9" x14ac:dyDescent="0.35">
      <c r="A23" t="s">
        <v>151</v>
      </c>
      <c r="B23" t="s">
        <v>536</v>
      </c>
      <c r="C23" t="s">
        <v>223</v>
      </c>
      <c r="D23" t="s">
        <v>519</v>
      </c>
      <c r="E23" t="s">
        <v>237</v>
      </c>
      <c r="F23" t="s">
        <v>236</v>
      </c>
      <c r="G23" t="s">
        <v>238</v>
      </c>
      <c r="H23" t="s">
        <v>227</v>
      </c>
      <c r="I23" t="s">
        <v>232</v>
      </c>
    </row>
    <row r="24" spans="1:9" x14ac:dyDescent="0.35">
      <c r="A24" t="s">
        <v>151</v>
      </c>
      <c r="B24" t="s">
        <v>536</v>
      </c>
      <c r="C24" t="s">
        <v>223</v>
      </c>
      <c r="D24" t="s">
        <v>519</v>
      </c>
      <c r="E24" t="s">
        <v>246</v>
      </c>
      <c r="F24" t="s">
        <v>245</v>
      </c>
      <c r="G24" t="s">
        <v>247</v>
      </c>
      <c r="H24" t="s">
        <v>227</v>
      </c>
      <c r="I24" t="s">
        <v>232</v>
      </c>
    </row>
    <row r="25" spans="1:9" x14ac:dyDescent="0.35">
      <c r="A25" t="s">
        <v>151</v>
      </c>
      <c r="B25" t="s">
        <v>536</v>
      </c>
      <c r="C25" t="s">
        <v>223</v>
      </c>
      <c r="D25" t="s">
        <v>519</v>
      </c>
      <c r="E25" t="s">
        <v>255</v>
      </c>
      <c r="F25" t="s">
        <v>254</v>
      </c>
      <c r="G25" t="s">
        <v>256</v>
      </c>
      <c r="H25" t="s">
        <v>227</v>
      </c>
      <c r="I25" t="s">
        <v>232</v>
      </c>
    </row>
    <row r="26" spans="1:9" x14ac:dyDescent="0.35">
      <c r="A26" t="s">
        <v>537</v>
      </c>
      <c r="B26" t="s">
        <v>538</v>
      </c>
      <c r="C26" t="s">
        <v>264</v>
      </c>
      <c r="D26" t="s">
        <v>265</v>
      </c>
      <c r="E26" t="s">
        <v>265</v>
      </c>
      <c r="F26" t="s">
        <v>263</v>
      </c>
      <c r="G26" t="s">
        <v>266</v>
      </c>
      <c r="H26" t="s">
        <v>227</v>
      </c>
      <c r="I26" t="s">
        <v>232</v>
      </c>
    </row>
    <row r="27" spans="1:9" x14ac:dyDescent="0.35">
      <c r="A27" t="s">
        <v>537</v>
      </c>
      <c r="B27" t="s">
        <v>538</v>
      </c>
      <c r="C27" t="s">
        <v>264</v>
      </c>
      <c r="D27" t="s">
        <v>265</v>
      </c>
      <c r="E27" t="s">
        <v>265</v>
      </c>
      <c r="F27" t="s">
        <v>273</v>
      </c>
      <c r="G27" t="s">
        <v>274</v>
      </c>
      <c r="H27" t="s">
        <v>227</v>
      </c>
      <c r="I27" t="s">
        <v>232</v>
      </c>
    </row>
    <row r="28" spans="1:9" x14ac:dyDescent="0.35">
      <c r="A28" t="s">
        <v>537</v>
      </c>
      <c r="B28" t="s">
        <v>538</v>
      </c>
      <c r="C28" t="s">
        <v>264</v>
      </c>
      <c r="D28" t="s">
        <v>265</v>
      </c>
      <c r="E28" t="s">
        <v>282</v>
      </c>
      <c r="F28" t="s">
        <v>281</v>
      </c>
      <c r="G28" t="s">
        <v>283</v>
      </c>
      <c r="H28" t="s">
        <v>227</v>
      </c>
      <c r="I28" t="s">
        <v>232</v>
      </c>
    </row>
    <row r="29" spans="1:9" x14ac:dyDescent="0.35">
      <c r="A29" t="s">
        <v>537</v>
      </c>
      <c r="B29" t="s">
        <v>538</v>
      </c>
      <c r="C29" t="s">
        <v>291</v>
      </c>
      <c r="D29" t="s">
        <v>292</v>
      </c>
      <c r="E29" t="s">
        <v>292</v>
      </c>
      <c r="F29" t="s">
        <v>290</v>
      </c>
      <c r="G29" t="s">
        <v>293</v>
      </c>
      <c r="H29" t="s">
        <v>227</v>
      </c>
      <c r="I29" t="s">
        <v>232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 Cases</vt:lpstr>
      <vt:lpstr>Test Data</vt:lpstr>
      <vt:lpstr>Bug Report</vt:lpstr>
      <vt:lpstr>AI Log</vt:lpstr>
      <vt:lpstr>Summary</vt:lpstr>
      <vt:lpstr>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DolibarrTests</dc:creator>
  <cp:keywords>EPPlus noncommercial use</cp:keywords>
  <dc:description>This workbook has been created with EPPlus licensed to DolibarrTests under The Polyform Noncommercial License: See https://polyformproject.org/licenses/noncommercial/1.0.0</dc:description>
  <cp:lastModifiedBy>2273201081640 - NGÔ NGỌC THỦY - 71K28QHCC24</cp:lastModifiedBy>
  <dcterms:created xsi:type="dcterms:W3CDTF">2026-09-24T10:29:59Z</dcterms:created>
  <dcterms:modified xsi:type="dcterms:W3CDTF">2026-10-07T09:21:17Z</dcterms:modified>
</cp:coreProperties>
</file>