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090" yWindow="1060" windowWidth="14400" windowHeight="7360" tabRatio="600" firstSheet="0" activeTab="0" autoFilterDateGrouping="1"/>
  </bookViews>
  <sheets>
    <sheet xmlns:r="http://schemas.openxmlformats.org/officeDocument/2006/relationships" name="Test Cases" sheetId="1" state="visible" r:id="rId1"/>
    <sheet xmlns:r="http://schemas.openxmlformats.org/officeDocument/2006/relationships" name="Test Data" sheetId="2" state="visible" r:id="rId2"/>
    <sheet xmlns:r="http://schemas.openxmlformats.org/officeDocument/2006/relationships" name="Bug Report" sheetId="3" state="visible" r:id="rId3"/>
    <sheet xmlns:r="http://schemas.openxmlformats.org/officeDocument/2006/relationships" name="AI Log" sheetId="4" state="visible" r:id="rId4"/>
    <sheet xmlns:r="http://schemas.openxmlformats.org/officeDocument/2006/relationships" name="Summary" sheetId="5" state="visible" r:id="rId5"/>
    <sheet xmlns:r="http://schemas.openxmlformats.org/officeDocument/2006/relationships" name="Traceability" sheetId="6" state="visible" r:id="rId6"/>
  </sheets>
  <definedNames/>
  <calcPr calcId="191029" fullCalcOnLoad="1" fullPrecision="1"/>
</workbook>
</file>

<file path=xl/styles.xml><?xml version="1.0" encoding="utf-8"?>
<styleSheet xmlns="http://schemas.openxmlformats.org/spreadsheetml/2006/main">
  <numFmts count="1">
    <numFmt numFmtId="164" formatCode="0.0%"/>
  </numFmts>
  <fonts count="3">
    <font>
      <name val="Calibri"/>
      <family val="2"/>
      <color theme="1"/>
      <sz val="11"/>
      <scheme val="minor"/>
    </font>
    <font>
      <name val="Calibri"/>
      <b val="1"/>
      <color rgb="FFFFFFFF"/>
      <sz val="10"/>
    </font>
    <font>
      <name val="Calibri"/>
      <b val="1"/>
      <sz val="11"/>
    </font>
  </fonts>
  <fills count="3">
    <fill>
      <patternFill/>
    </fill>
    <fill>
      <patternFill patternType="gray125"/>
    </fill>
    <fill>
      <patternFill patternType="solid">
        <fgColor rgb="FF2F4F8F"/>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top"/>
    </xf>
    <xf numFmtId="0" fontId="0" fillId="0" borderId="1" applyAlignment="1" pivotButton="0" quotePrefix="0" xfId="0">
      <alignment vertical="top" wrapText="1"/>
    </xf>
    <xf numFmtId="164" fontId="0" fillId="0" borderId="0" pivotButton="0" quotePrefix="0" xfId="0"/>
    <xf numFmtId="0" fontId="2" fillId="0" borderId="0" pivotButton="0" quotePrefix="0" xfId="0"/>
    <xf numFmtId="164" fontId="2"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29"/>
  <sheetViews>
    <sheetView tabSelected="1" workbookViewId="0">
      <selection activeCell="A1" sqref="A1"/>
    </sheetView>
  </sheetViews>
  <sheetFormatPr baseColWidth="8" defaultRowHeight="14.5"/>
  <cols>
    <col width="12" customWidth="1" min="1" max="1"/>
    <col width="10" customWidth="1" min="2" max="2"/>
    <col width="12" customWidth="1" min="3" max="3"/>
    <col width="25" customWidth="1" min="4" max="4"/>
    <col width="35" customWidth="1" min="5" max="5"/>
    <col width="12" customWidth="1" min="6" max="6"/>
    <col width="8" customWidth="1" min="7" max="8"/>
    <col width="30" customWidth="1" min="9" max="9"/>
    <col width="45" customWidth="1" min="10" max="10"/>
    <col width="50" customWidth="1" min="11" max="11"/>
    <col width="55" customWidth="1" min="12" max="12"/>
    <col width="20" customWidth="1" min="13" max="13"/>
    <col width="12" customWidth="1" min="14" max="15"/>
    <col width="20" customWidth="1" min="16" max="16"/>
    <col width="10" customWidth="1" min="17" max="17"/>
    <col width="40" customWidth="1" min="18" max="18"/>
    <col width="18" customWidth="1" min="19" max="19"/>
  </cols>
  <sheetData>
    <row r="1" ht="28" customHeight="1">
      <c r="A1" s="1" t="inlineStr">
        <is>
          <t>Test ID</t>
        </is>
      </c>
      <c r="B1" s="1" t="inlineStr">
        <is>
          <t>Module</t>
        </is>
      </c>
      <c r="C1" s="1" t="inlineStr">
        <is>
          <t>Function ID</t>
        </is>
      </c>
      <c r="D1" s="1" t="inlineStr">
        <is>
          <t>Scenario</t>
        </is>
      </c>
      <c r="E1" s="1" t="inlineStr">
        <is>
          <t>Tieu de</t>
        </is>
      </c>
      <c r="F1" s="1" t="inlineStr">
        <is>
          <t>Ky thuat</t>
        </is>
      </c>
      <c r="G1" s="1" t="inlineStr">
        <is>
          <t>Uu tien</t>
        </is>
      </c>
      <c r="H1" s="1" t="inlineStr">
        <is>
          <t>Loai</t>
        </is>
      </c>
      <c r="I1" s="1" t="inlineStr">
        <is>
          <t>Tien dieu kien</t>
        </is>
      </c>
      <c r="J1" s="1" t="inlineStr">
        <is>
          <t>Cac buoc</t>
        </is>
      </c>
      <c r="K1" s="1" t="inlineStr">
        <is>
          <t>Test data</t>
        </is>
      </c>
      <c r="L1" s="1" t="inlineStr">
        <is>
          <t>Expected</t>
        </is>
      </c>
      <c r="M1" s="1" t="inlineStr">
        <is>
          <t>Actual</t>
        </is>
      </c>
      <c r="N1" s="1" t="inlineStr">
        <is>
          <t>Trang thai</t>
        </is>
      </c>
      <c r="O1" s="1" t="inlineStr">
        <is>
          <t>Ngay chay</t>
        </is>
      </c>
      <c r="P1" s="1" t="inlineStr">
        <is>
          <t>Minh chung</t>
        </is>
      </c>
      <c r="Q1" s="1" t="inlineStr">
        <is>
          <t>Bug ID</t>
        </is>
      </c>
      <c r="R1" s="1" t="inlineStr">
        <is>
          <t>Ghi chu</t>
        </is>
      </c>
      <c r="S1" s="1" t="inlineStr">
        <is>
          <t>Nguon</t>
        </is>
      </c>
    </row>
    <row r="2" ht="80" customHeight="1">
      <c r="A2" s="2" t="inlineStr">
        <is>
          <t>TC_CRM_005</t>
        </is>
      </c>
      <c r="B2" s="2" t="inlineStr">
        <is>
          <t>CRM</t>
        </is>
      </c>
      <c r="C2" s="2" t="inlineStr">
        <is>
          <t>F-CRM-01</t>
        </is>
      </c>
      <c r="D2" s="2" t="inlineStr">
        <is>
          <t>Tao khach hang -- kiem tra bien ten (BVA)</t>
        </is>
      </c>
      <c r="E2" s="2" t="inlineStr">
        <is>
          <t>Tao khach hang voi ten dung 128 ky tu (gioi han toi da)</t>
        </is>
      </c>
      <c r="F2" s="2" t="inlineStr">
        <is>
          <t>BVA</t>
        </is>
      </c>
      <c r="G2" s="2" t="inlineStr">
        <is>
          <t>P1</t>
        </is>
      </c>
      <c r="H2" s="2" t="inlineStr">
        <is>
          <t>Auto</t>
        </is>
      </c>
      <c r="I2" s="2" t="inlineStr">
        <is>
          <t>Da dang nhap admin; trang Tao khach hang moi dang mo</t>
        </is>
      </c>
      <c r="J2" s="2" t="inlineStr">
        <is>
          <t>1. Mo http://localhost/dolibarr/societe/card.php?action=create
2. Nhap ten khach hang: data_005 (128 ky tu)
3. Chon loai: Khach hang
4. Nhan Luu</t>
        </is>
      </c>
      <c r="K2" s="2" t="inlineStr">
        <is>
          <t>TC005_XXXXXXXXXXXXXXXXXXXXXXXXXXXXXXXXXXXXXXXXXXXXXXXXXXXXXXXXXXXXXXXXXXXXXXXXXXXXXXXXXXXXXXXXXXXXXXXXXXXXXXXXXXXXXXXXXXXXXXXXXX</t>
        </is>
      </c>
      <c r="L2" s="2" t="inlineStr">
        <is>
          <t>O ten nhan du 128 ky tu (khong bi cat); form luu thanh cong; trang chi tiet hien thi dung ten 128 ky tu; khong co thong bao loi.</t>
        </is>
      </c>
      <c r="M2" s="2" t="inlineStr">
        <is>
          <t>Form redirect về trang chi tiết (socid=89). Tên lưu thành công đủ 128 ký tự. Không có thông báo lỗi.</t>
        </is>
      </c>
      <c r="N2" s="2" t="inlineStr">
        <is>
          <t>Pass</t>
        </is>
      </c>
      <c r="O2" s="2" t="inlineStr">
        <is>
          <t>2026-10-03</t>
        </is>
      </c>
      <c r="P2" s="2" t="inlineStr">
        <is>
          <t>evidence/automation/TC_CRM_005.png</t>
        </is>
      </c>
      <c r="Q2" s="2" t="n"/>
      <c r="R2" s="2" t="inlineStr">
        <is>
          <t>N = 128 (varchar(128) trong llx_societe.sql, maxlength=128 trong card.php).</t>
        </is>
      </c>
      <c r="S2" s="2" t="inlineStr">
        <is>
          <t>AI goi y-da chinh</t>
        </is>
      </c>
    </row>
    <row r="3" ht="100" customHeight="1">
      <c r="A3" s="2" t="inlineStr">
        <is>
          <t>TC_CRM_006</t>
        </is>
      </c>
      <c r="B3" s="2" t="inlineStr">
        <is>
          <t>CRM</t>
        </is>
      </c>
      <c r="C3" s="2" t="inlineStr">
        <is>
          <t>F-CRM-01</t>
        </is>
      </c>
      <c r="D3" s="2" t="inlineStr">
        <is>
          <t>Tao khach hang -- kiem tra bien ten (BVA)</t>
        </is>
      </c>
      <c r="E3" s="2" t="inlineStr">
        <is>
          <t>Nhap ten 129 ky tu vao o Ten khach hang (gioi han UI maxlength=128)</t>
        </is>
      </c>
      <c r="F3" s="2" t="inlineStr">
        <is>
          <t>BVA</t>
        </is>
      </c>
      <c r="G3" s="2" t="inlineStr">
        <is>
          <t>P1</t>
        </is>
      </c>
      <c r="H3" s="2" t="inlineStr">
        <is>
          <t>Auto</t>
        </is>
      </c>
      <c r="I3" s="2" t="inlineStr">
        <is>
          <t>Da dang nhap admin; trang Tao khach hang moi dang mo</t>
        </is>
      </c>
      <c r="J3" s="2" t="inlineStr">
        <is>
          <t>1. Mo http://localhost/dolibarr/societe/card.php?action=create
2. Dan chuoi data_006 (129 ky tu) vao o Ten khach hang
3. Quan sat do dai ky tu thuc te trong o sau khi nhap
4. Nhan Luu va ghi nhan ket qua</t>
        </is>
      </c>
      <c r="K3" s="2" t="inlineStr">
        <is>
          <t>TC006_XXXXXXXXXXXXXXXXXXXXXXXXXXXXXXXXXXXXXXXXXXXXXXXXXXXXXXXXXXXXXXXXXXXXXXXXXXXXXXXXXXXXXXXXXXXXXXXXXXXXXXXXXXXXXXXXXXXXXXXXXXX</t>
        </is>
      </c>
      <c r="L3" s="2" t="inlineStr">
        <is>
          <t>Trinh duyet tu cat con 128 ky tu (maxlength=128); ky tu thu 129 bi bo; form luu duoc voi ten 128 ky tu; khong bao loi.</t>
        </is>
      </c>
      <c r="M3" s="2" t="inlineStr">
        <is>
          <t>Thuộc tính maxlength='128'. Browser cắt chuỗi nhập còn đúng 128 ký tự. Form lưu thành công (socid=90).</t>
        </is>
      </c>
      <c r="N3" s="2" t="inlineStr">
        <is>
          <t>Pass</t>
        </is>
      </c>
      <c r="O3" s="2" t="inlineStr">
        <is>
          <t>2026-10-03</t>
        </is>
      </c>
      <c r="P3" s="2" t="inlineStr">
        <is>
          <t>evidence/automation/TC_CRM_006.png</t>
        </is>
      </c>
      <c r="Q3" s="2" t="n"/>
      <c r="R3" s="2" t="inlineStr">
        <is>
          <t>Pass chỉ xác nhận phía browser cắt còn 128 ký tự (maxlength). Chưa kiểm tra server khi nhận 129 ký tự qua bypass JS — ngoài phạm vi vòng này.</t>
        </is>
      </c>
      <c r="S3" s="2" t="inlineStr">
        <is>
          <t>AI goi y-da chinh</t>
        </is>
      </c>
    </row>
    <row r="4" ht="87" customHeight="1">
      <c r="A4" s="2" t="inlineStr">
        <is>
          <t>TC_CRM_007</t>
        </is>
      </c>
      <c r="B4" s="2" t="inlineStr">
        <is>
          <t>CRM</t>
        </is>
      </c>
      <c r="C4" s="2" t="inlineStr">
        <is>
          <t>F-CRM-01</t>
        </is>
      </c>
      <c r="D4" s="2" t="inlineStr">
        <is>
          <t>Tao khach hang -- kiem tra bien ten (BVA / EP)</t>
        </is>
      </c>
      <c r="E4" s="2" t="inlineStr">
        <is>
          <t>Tao khach hang voi ten de trong (khong nhap)</t>
        </is>
      </c>
      <c r="F4" s="2" t="inlineStr">
        <is>
          <t>BVA/EP</t>
        </is>
      </c>
      <c r="G4" s="2" t="inlineStr">
        <is>
          <t>P1</t>
        </is>
      </c>
      <c r="H4" s="2" t="inlineStr">
        <is>
          <t>Auto</t>
        </is>
      </c>
      <c r="I4" s="2" t="inlineStr">
        <is>
          <t>Da dang nhap admin; trang Tao khach hang moi dang mo</t>
        </is>
      </c>
      <c r="J4" s="2" t="inlineStr">
        <is>
          <t>1. Mo http://localhost/dolibarr/societe/card.php?action=create
2. De trong o Ten khach hang
3. Chon loai: Khach hang
4. Nhan Luu</t>
        </is>
      </c>
      <c r="K4" s="2" t="n"/>
      <c r="L4" s="2" t="inlineStr">
        <is>
          <t>Form khong the submit hoac hien thi thong bao loi 'truong bat buoc' tai o Ten; khach hang KHONG duoc tao trong DB.</t>
        </is>
      </c>
      <c r="M4" s="2" t="inlineStr">
        <is>
          <t>Thuộc tính required=False. Form không redirect, server chặn với thông báo lỗi: "Field 'Third-party name' is required".</t>
        </is>
      </c>
      <c r="N4" s="2" t="inlineStr">
        <is>
          <t>Pass</t>
        </is>
      </c>
      <c r="O4" s="2" t="inlineStr">
        <is>
          <t>2026-10-03</t>
        </is>
      </c>
      <c r="P4" s="2" t="inlineStr">
        <is>
          <t>evidence/automation/TC_CRM_007.png</t>
        </is>
      </c>
      <c r="Q4" s="2" t="n"/>
      <c r="R4" s="2" t="inlineStr">
        <is>
          <t>Bien duoi EP ten: rong. Kiem tra validation bat buoc phia server.</t>
        </is>
      </c>
      <c r="S4" s="2" t="inlineStr">
        <is>
          <t>AI goi y-da chinh</t>
        </is>
      </c>
    </row>
    <row r="5" ht="87" customHeight="1">
      <c r="A5" s="2" t="inlineStr">
        <is>
          <t>TC_CRM_008</t>
        </is>
      </c>
      <c r="B5" s="2" t="inlineStr">
        <is>
          <t>CRM</t>
        </is>
      </c>
      <c r="C5" s="2" t="inlineStr">
        <is>
          <t>F-CRM-01</t>
        </is>
      </c>
      <c r="D5" s="2" t="inlineStr">
        <is>
          <t>Tao khach hang -- kiem tra bien ten (BVA / EP)</t>
        </is>
      </c>
      <c r="E5" s="2" t="inlineStr">
        <is>
          <t>Tao khach hang voi ten dung 1 ky tu</t>
        </is>
      </c>
      <c r="F5" s="2" t="inlineStr">
        <is>
          <t>BVA</t>
        </is>
      </c>
      <c r="G5" s="2" t="inlineStr">
        <is>
          <t>P2</t>
        </is>
      </c>
      <c r="H5" s="2" t="inlineStr">
        <is>
          <t>Auto</t>
        </is>
      </c>
      <c r="I5" s="2" t="inlineStr">
        <is>
          <t>Da dang nhap admin; trang Tao khach hang moi dang mo</t>
        </is>
      </c>
      <c r="J5" s="2" t="inlineStr">
        <is>
          <t>1. Mo http://localhost/dolibarr/societe/card.php?action=create
2. Nhap ten khach hang: "A"
3. Chon loai: Khach hang
4. Nhan Luu</t>
        </is>
      </c>
      <c r="K5" s="2" t="inlineStr">
        <is>
          <t>A</t>
        </is>
      </c>
      <c r="L5" s="2" t="inlineStr">
        <is>
          <t>Luu thanh cong; trang chi tiet hien thi dung ten "A".</t>
        </is>
      </c>
      <c r="M5" s="2" t="inlineStr">
        <is>
          <t>Lưu thành công KH tên 1 ký tự 'A' (socid=91). Tên hiển thị trên trang chi tiết: 'A'. Không có lỗi.</t>
        </is>
      </c>
      <c r="N5" s="2" t="inlineStr">
        <is>
          <t>Pass</t>
        </is>
      </c>
      <c r="O5" s="2" t="inlineStr">
        <is>
          <t>2026-10-03</t>
        </is>
      </c>
      <c r="P5" s="2" t="inlineStr">
        <is>
          <t>evidence/automation/TC_CRM_008.png</t>
        </is>
      </c>
      <c r="Q5" s="2" t="n"/>
      <c r="R5" s="2" t="inlineStr">
        <is>
          <t>Bien duoi BVA: 1 ky tu (minimum valid).</t>
        </is>
      </c>
      <c r="S5" s="2" t="inlineStr">
        <is>
          <t>AI goi y-da chinh</t>
        </is>
      </c>
    </row>
    <row r="6" ht="101.5" customHeight="1">
      <c r="A6" s="2" t="inlineStr">
        <is>
          <t>TC_CRM_009</t>
        </is>
      </c>
      <c r="B6" s="2" t="inlineStr">
        <is>
          <t>CRM</t>
        </is>
      </c>
      <c r="C6" s="2" t="inlineStr">
        <is>
          <t>F-CRM-01</t>
        </is>
      </c>
      <c r="D6" s="2" t="inlineStr">
        <is>
          <t>Tao khach hang -- kiem tra bien ten (EP)</t>
        </is>
      </c>
      <c r="E6" s="2" t="inlineStr">
        <is>
          <t>Tao khach hang voi ten chi gom khoang trang</t>
        </is>
      </c>
      <c r="F6" s="2" t="inlineStr">
        <is>
          <t>EP</t>
        </is>
      </c>
      <c r="G6" s="2" t="inlineStr">
        <is>
          <t>P2</t>
        </is>
      </c>
      <c r="H6" s="2" t="inlineStr">
        <is>
          <t>Auto</t>
        </is>
      </c>
      <c r="I6" s="2" t="inlineStr">
        <is>
          <t>Da dang nhap admin; trang Tao khach hang moi dang mo</t>
        </is>
      </c>
      <c r="J6" s="2" t="inlineStr">
        <is>
          <t>1. Mo http://localhost/dolibarr/societe/card.php?action=create
2. Nhap vao o Ten khach hang: 10 dau cach
3. Chon loai: Khach hang
4. Nhan Luu</t>
        </is>
      </c>
      <c r="K6" s="2" t="inlineStr">
        <is>
          <t xml:space="preserve">          </t>
        </is>
      </c>
      <c r="L6" s="2" t="inlineStr">
        <is>
          <t>Form không redirect; server chặn submit với thông báo 'Field 'Third-party name' is required'; không tạo KH.</t>
        </is>
      </c>
      <c r="M6" s="2" t="inlineStr">
        <is>
          <t>Input nhận 10 khoảng trắng. Form không redirect, server chặn submit với lỗi: "Field 'Third-party name' is required". Không tạo KH.</t>
        </is>
      </c>
      <c r="N6" s="2" t="inlineStr">
        <is>
          <t>Pass</t>
        </is>
      </c>
      <c r="O6" s="2" t="inlineStr">
        <is>
          <t>2026-10-03</t>
        </is>
      </c>
      <c r="P6" s="2" t="inlineStr">
        <is>
          <t>evidence/automation/TC_CRM_009.png</t>
        </is>
      </c>
      <c r="Q6" s="2" t="n"/>
      <c r="R6" s="2" t="inlineStr">
        <is>
          <t>EP ngoài biên: khoảng trắng thuần túy. Expected theo quan sát trong kiểm thử ngày 2026-10-03, chờ giảng viên xác nhận (chưa phải spec chính thức).</t>
        </is>
      </c>
      <c r="S6" s="2" t="inlineStr">
        <is>
          <t>AI goi y-da chinh</t>
        </is>
      </c>
    </row>
    <row r="7" ht="203" customHeight="1">
      <c r="A7" s="2" t="inlineStr">
        <is>
          <t>TC_CRM_010</t>
        </is>
      </c>
      <c r="B7" s="2" t="inlineStr">
        <is>
          <t>CRM</t>
        </is>
      </c>
      <c r="C7" s="2" t="inlineStr">
        <is>
          <t>F-CRM-01</t>
        </is>
      </c>
      <c r="D7" s="2" t="inlineStr">
        <is>
          <t>Tao khach hang -- ky tu dac biet / an toan du lieu</t>
        </is>
      </c>
      <c r="E7" s="2" t="inlineStr">
        <is>
          <t>Tao khach hang voi ten chua ky tu dac biet va the HTML</t>
        </is>
      </c>
      <c r="F7" s="2" t="inlineStr">
        <is>
          <t>EP</t>
        </is>
      </c>
      <c r="G7" s="2" t="inlineStr">
        <is>
          <t>P1</t>
        </is>
      </c>
      <c r="H7" s="2" t="inlineStr">
        <is>
          <t>Auto</t>
        </is>
      </c>
      <c r="I7" s="2" t="inlineStr">
        <is>
          <t>Da dang nhap admin; trang Tao khach hang moi dang mo</t>
        </is>
      </c>
      <c r="J7" s="2" t="inlineStr">
        <is>
          <t>1. Mo http://localhost/dolibarr/societe/card.php?action=create
2. Nhap ten khach hang: O'Brien &amp; Cong ty &lt;Test&gt; "123"
3. Chon loai: Khach hang
4. Nhan Luu</t>
        </is>
      </c>
      <c r="K7" s="2" t="inlineStr">
        <is>
          <t>O'Brien &amp; Cong ty &lt;Test&gt; "123"</t>
        </is>
      </c>
      <c r="L7" s="2" t="inlineStr">
        <is>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is>
      </c>
      <c r="M7" s="2" t="inlineStr">
        <is>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is>
      </c>
      <c r="N7" s="2" t="inlineStr">
        <is>
          <t>Fail</t>
        </is>
      </c>
      <c r="O7" s="2" t="inlineStr">
        <is>
          <t>2026-10-05</t>
        </is>
      </c>
      <c r="P7" s="2" t="inlineStr">
        <is>
          <t>evidence/automation/TC_CRM_010_fail_bug001.png</t>
        </is>
      </c>
      <c r="Q7" s="2" t="inlineStr">
        <is>
          <t>BUG_001</t>
        </is>
      </c>
      <c r="R7" s="2" t="inlineStr">
        <is>
          <t>Test tự động phát hiện BUG_001 (URL chuyển hướng chứa placeholder id=__ID__). Mục tiêu XSS đạt, phần dấu " chưa assert trong code và chờ giảng viên xác nhận spec.</t>
        </is>
      </c>
      <c r="S7" s="2" t="inlineStr">
        <is>
          <t>AI goi y-da chinh</t>
        </is>
      </c>
    </row>
    <row r="8" ht="101.5" customHeight="1">
      <c r="A8" s="2" t="inlineStr">
        <is>
          <t>TC_CRM_011</t>
        </is>
      </c>
      <c r="B8" s="2" t="inlineStr">
        <is>
          <t>CRM</t>
        </is>
      </c>
      <c r="C8" s="2" t="inlineStr">
        <is>
          <t>F-CRM-01</t>
        </is>
      </c>
      <c r="D8" s="2" t="inlineStr">
        <is>
          <t>Tao khach hang -- ky tu Unicode / tieng Viet co dau</t>
        </is>
      </c>
      <c r="E8" s="2" t="inlineStr">
        <is>
          <t>Tao khach hang voi ten tieng Viet co dau du 128 ky tu</t>
        </is>
      </c>
      <c r="F8" s="2" t="inlineStr">
        <is>
          <t>BVA/EP</t>
        </is>
      </c>
      <c r="G8" s="2" t="inlineStr">
        <is>
          <t>P2</t>
        </is>
      </c>
      <c r="H8" s="2" t="inlineStr">
        <is>
          <t>Auto</t>
        </is>
      </c>
      <c r="I8" s="2" t="inlineStr">
        <is>
          <t>Da dang nhap admin; trang Tao khach hang moi dang mo</t>
        </is>
      </c>
      <c r="J8" s="2" t="inlineStr">
        <is>
          <t>1. Mo http://localhost/dolibarr/societe/card.php?action=create
2. Nhap ten: chuoi tieng Viet 128 ky tu Unicode (xem Test data)
3. Chon loai: Khach hang
4. Nhan Luu</t>
        </is>
      </c>
      <c r="K8" s="2" t="inlineStr">
        <is>
          <t>Công ty TNHH Kiểm Thử Dữ Liệu Tiếng Việt Có Dấu Số Nguyễn Văn Ất Ổn Ệ Ố Ắ Nguyễn Văn Ất Ổn Ệ Ố Ắ Nguyễn Văn Ất Ổn Ệ Ố Ắ Nguyễn V</t>
        </is>
      </c>
      <c r="L8" s="2" t="inlineStr">
        <is>
          <t>Luu thanh cong; trang chi tiet hien thi dung 128 ky tu tieng Viet co dau, khong bi cat lech do encoding, khong bi loi ky tu la (mojibake).</t>
        </is>
      </c>
      <c r="M8" s="2" t="inlineStr">
        <is>
          <t>Đọc thành công 128 ký tự tiếng Việt Unicode. Lưu thành công (socid=102) và hiển thị chính xác, không lỗi font.</t>
        </is>
      </c>
      <c r="N8" s="2" t="inlineStr">
        <is>
          <t>Pass</t>
        </is>
      </c>
      <c r="O8" s="2" t="inlineStr">
        <is>
          <t>2026-10-03</t>
        </is>
      </c>
      <c r="P8" s="2" t="inlineStr">
        <is>
          <t>evidence/automation/TC_CRM_011.png</t>
        </is>
      </c>
      <c r="Q8" s="2" t="n"/>
      <c r="R8" s="2" t="inlineStr">
        <is>
          <t>Test data: 128 ky tu Unicode co dau (len=128). Kiem tra encoding UTF-8.</t>
        </is>
      </c>
      <c r="S8" s="2" t="inlineStr">
        <is>
          <t>AI goi y-da chinh</t>
        </is>
      </c>
    </row>
    <row r="9">
      <c r="A9" t="inlineStr">
        <is>
          <t>TC_CRM_012</t>
        </is>
      </c>
      <c r="B9" t="inlineStr">
        <is>
          <t>CRM</t>
        </is>
      </c>
      <c r="C9" t="inlineStr">
        <is>
          <t>F-CRM-02</t>
        </is>
      </c>
      <c r="D9" t="inlineStr">
        <is>
          <t>Cap nhat thong tin khach hang -- Sua ten</t>
        </is>
      </c>
      <c r="E9" t="inlineStr">
        <is>
          <t>Sua ten khach hang thanh ten moi va luu</t>
        </is>
      </c>
      <c r="F9" t="inlineStr">
        <is>
          <t>Use Case</t>
        </is>
      </c>
      <c r="G9" t="inlineStr">
        <is>
          <t>P1</t>
        </is>
      </c>
      <c r="H9" t="inlineStr">
        <is>
          <t>Auto</t>
        </is>
      </c>
      <c r="I9" t="inlineStr">
        <is>
          <t>Da dang nhap admin; da co khach hang trong he thong</t>
        </is>
      </c>
      <c r="J9" t="inlineStr">
        <is>
          <t>1. Mo trang chi tiet khach hang
2. Click nut Sua (Modify)
3. Nhap ten moi vao o Name
4. Click nut Luu (Save)
5. Kiem tra ten moi hien thi tren trang chi tiet</t>
        </is>
      </c>
      <c r="K9" t="inlineStr">
        <is>
          <t>KH_Edit_New_{suffix}</t>
        </is>
      </c>
      <c r="L9" t="inlineStr">
        <is>
          <t>Form luu thanh cong, URL chuyen ve trang chi tiet, ten hien thi duoc cap nhat dung thanh ten moi.</t>
        </is>
      </c>
      <c r="M9" t="inlineStr">
        <is>
          <t>Tạo KH 'AUTO_Edit_Orig_1C1360BE', vào chế độ Edit sửa tên thành 'AUTO_Edit_New_1C1360BE' thành công. Trang chi tiết hiển thị đúng tên mới (id=94).</t>
        </is>
      </c>
      <c r="N9" t="inlineStr">
        <is>
          <t>Pass</t>
        </is>
      </c>
      <c r="O9" t="inlineStr">
        <is>
          <t>2026-10-03</t>
        </is>
      </c>
      <c r="P9" t="inlineStr">
        <is>
          <t>evidence/automation/TC_CRM_012.png</t>
        </is>
      </c>
      <c r="R9" t="inlineStr">
        <is>
          <t>Tai su dung CustomerDetailPage (ClickEdit, EnterName, ClickSave, GetDisplayedName).</t>
        </is>
      </c>
      <c r="S9" t="inlineStr">
        <is>
          <t>Automation Suite</t>
        </is>
      </c>
    </row>
    <row r="10">
      <c r="A10" t="inlineStr">
        <is>
          <t>TC_CRM_013</t>
        </is>
      </c>
      <c r="B10" t="inlineStr">
        <is>
          <t>CRM</t>
        </is>
      </c>
      <c r="C10" t="inlineStr">
        <is>
          <t>F-CRM-03</t>
        </is>
      </c>
      <c r="D10" t="inlineStr">
        <is>
          <t>Tim kiem khach hang -- Ten day du</t>
        </is>
      </c>
      <c r="E10" t="inlineStr">
        <is>
          <t>Tim kiem khach hang theo ten chinh xac day du</t>
        </is>
      </c>
      <c r="F10" t="inlineStr">
        <is>
          <t>EP</t>
        </is>
      </c>
      <c r="G10" t="inlineStr">
        <is>
          <t>P1</t>
        </is>
      </c>
      <c r="H10" t="inlineStr">
        <is>
          <t>Auto</t>
        </is>
      </c>
      <c r="I10" t="inlineStr">
        <is>
          <t>Da dang nhap admin; da co khach hang can tim</t>
        </is>
      </c>
      <c r="J10" t="inlineStr">
        <is>
          <t>1. Mo danh sach khach hang (/societe/list.php?type=c)
2. Nhap ten day du vao o tim kiem
3. Click nut Tim kiem (Search)
4. Kiem tra danh sach ket qua tra ve</t>
        </is>
      </c>
      <c r="K10" t="inlineStr">
        <is>
          <t>SearchFull_{suffix}</t>
        </is>
      </c>
      <c r="L10" t="inlineStr">
        <is>
          <t>Tra ve it nhat 1 ket qua, danh sach ket qua chua dung ten khach hang vua tim kiem.</t>
        </is>
      </c>
      <c r="M10" t="inlineStr">
        <is>
          <t>Tạo KH 'AUTO_SearchFull_3AC282B7', tìm kiếm theo tên đầy đủ trả về đúng 1 kết quả (Count=1, Ket qua=AUTO_SearchFull_3AC282B7).</t>
        </is>
      </c>
      <c r="N10" t="inlineStr">
        <is>
          <t>Pass</t>
        </is>
      </c>
      <c r="O10" t="inlineStr">
        <is>
          <t>2026-10-03</t>
        </is>
      </c>
      <c r="P10" t="inlineStr">
        <is>
          <t>evidence/automation/TC_CRM_013.png</t>
        </is>
      </c>
      <c r="R10" t="inlineStr">
        <is>
          <t>CustomerListPage.SearchByName va GetResultNames.</t>
        </is>
      </c>
      <c r="S10" t="inlineStr">
        <is>
          <t>Automation Suite</t>
        </is>
      </c>
    </row>
    <row r="11">
      <c r="A11" t="inlineStr">
        <is>
          <t>TC_CRM_014</t>
        </is>
      </c>
      <c r="B11" t="inlineStr">
        <is>
          <t>CRM</t>
        </is>
      </c>
      <c r="C11" t="inlineStr">
        <is>
          <t>F-CRM-03</t>
        </is>
      </c>
      <c r="D11" t="inlineStr">
        <is>
          <t>Tim kiem khach hang -- Mot phan ten</t>
        </is>
      </c>
      <c r="E11" t="inlineStr">
        <is>
          <t>Tim kiem khach hang theo mot phan chuoi ten (keyword/partial match)</t>
        </is>
      </c>
      <c r="F11" t="inlineStr">
        <is>
          <t>EP</t>
        </is>
      </c>
      <c r="G11" t="inlineStr">
        <is>
          <t>P2</t>
        </is>
      </c>
      <c r="H11" t="inlineStr">
        <is>
          <t>Auto</t>
        </is>
      </c>
      <c r="I11" t="inlineStr">
        <is>
          <t>Da dang nhap admin; da co khach hang voi ten chua tu khoa</t>
        </is>
      </c>
      <c r="J11" t="inlineStr">
        <is>
          <t>1. Mo danh sach khach hang (/societe/list.php?type=c)
2. Nhap mot phan chuoi ten vao o tim kiem
3. Click nut Tim kiem (Search)
4. Kiem tra danh sach ket qua tra ve</t>
        </is>
      </c>
      <c r="K11" t="inlineStr">
        <is>
          <t>{suffix}</t>
        </is>
      </c>
      <c r="L11" t="inlineStr">
        <is>
          <t>Danh sach ket qua chua it nhat 1 khach hang co ten chua tu khoa tim kiem.</t>
        </is>
      </c>
      <c r="M11" t="inlineStr">
        <is>
          <t>Tạo KH 'AUTO_SearchPart_74E0D2C2', tìm kiếm một phần tên '74E0D2C2' trả về kết quả (Count=1, Tim kiem theo='74E0D2C2', Ket qua: AUTO_SearchPart_74E0D2C2).</t>
        </is>
      </c>
      <c r="N11" t="inlineStr">
        <is>
          <t>Pass</t>
        </is>
      </c>
      <c r="O11" t="inlineStr">
        <is>
          <t>2026-10-03</t>
        </is>
      </c>
      <c r="P11" t="inlineStr">
        <is>
          <t>evidence/automation/TC_CRM_014.png</t>
        </is>
      </c>
      <c r="R11" t="inlineStr">
        <is>
          <t>Tim kiem theo substring trong Dolibarr list.</t>
        </is>
      </c>
      <c r="S11" t="inlineStr">
        <is>
          <t>Automation Suite</t>
        </is>
      </c>
    </row>
    <row r="12">
      <c r="A12" t="inlineStr">
        <is>
          <t>TC_CRM_015</t>
        </is>
      </c>
      <c r="B12" t="inlineStr">
        <is>
          <t>CRM</t>
        </is>
      </c>
      <c r="C12" t="inlineStr">
        <is>
          <t>F-CRM-03</t>
        </is>
      </c>
      <c r="D12" t="inlineStr">
        <is>
          <t>Tim kiem khach hang -- Ten khong ton tai</t>
        </is>
      </c>
      <c r="E12" t="inlineStr">
        <is>
          <t>Tim kiem khach hang voi ten khong ton tai trong he thong</t>
        </is>
      </c>
      <c r="F12" t="inlineStr">
        <is>
          <t>BVA/EP</t>
        </is>
      </c>
      <c r="G12" t="inlineStr">
        <is>
          <t>P2</t>
        </is>
      </c>
      <c r="H12" t="inlineStr">
        <is>
          <t>Auto</t>
        </is>
      </c>
      <c r="I12" t="inlineStr">
        <is>
          <t>Da dang nhap admin; trang danh sach khach hang dang mo</t>
        </is>
      </c>
      <c r="J12" t="inlineStr">
        <is>
          <t>1. Mo danh sach khach hang (/societe/list.php?type=c)
2. Nhap chuoi ten ngau nhien chac chan khong ton tai
3. Click nut Tim kiem (Search)
4. Kiem tra so luong ket qua va thong bao hien thi</t>
        </is>
      </c>
      <c r="K12" t="inlineStr">
        <is>
          <t>NOTEXIST_{random}_ZZZZZ</t>
        </is>
      </c>
      <c r="L12" t="inlineStr">
        <is>
          <t>Bang ket qua tra ve 0 dong du lieu va hien thi thong bao 'No record found' (Aucun enregistrement).</t>
        </is>
      </c>
      <c r="M12" t="inlineStr">
        <is>
          <t>Tìm kiếm chuỗi không tồn tại 'NOTEXIST_248EC207FBEC_ZZZZZ' trả về 0 kết quả (Count=0, HasNoResultMessage=True).</t>
        </is>
      </c>
      <c r="N12" t="inlineStr">
        <is>
          <t>Pass</t>
        </is>
      </c>
      <c r="O12" t="inlineStr">
        <is>
          <t>2026-10-03</t>
        </is>
      </c>
      <c r="P12" t="inlineStr">
        <is>
          <t>evidence/automation/TC_CRM_015.png</t>
        </is>
      </c>
      <c r="R12" t="inlineStr">
        <is>
          <t>Xu ly locator phan biet dong du lieu tr.oddeven va thong bao span.opacitymedium.</t>
        </is>
      </c>
      <c r="S12" t="inlineStr">
        <is>
          <t>Automation Suite</t>
        </is>
      </c>
    </row>
    <row r="13">
      <c r="A13" t="inlineStr">
        <is>
          <t>TC_CRM_016</t>
        </is>
      </c>
      <c r="B13" t="inlineStr">
        <is>
          <t>CRM</t>
        </is>
      </c>
      <c r="C13" t="inlineStr">
        <is>
          <t>F-CRM-04</t>
        </is>
      </c>
      <c r="D13" t="inlineStr">
        <is>
          <t>Xoa khach hang -- Luong chuan</t>
        </is>
      </c>
      <c r="E13" t="inlineStr">
        <is>
          <t>Xoa khach hang khoi he thong va xac minh khong con ton tai</t>
        </is>
      </c>
      <c r="F13" t="inlineStr">
        <is>
          <t>Use Case</t>
        </is>
      </c>
      <c r="G13" t="inlineStr">
        <is>
          <t>P1</t>
        </is>
      </c>
      <c r="H13" t="inlineStr">
        <is>
          <t>Auto</t>
        </is>
      </c>
      <c r="I13" t="inlineStr">
        <is>
          <t>Da dang nhap admin; da co khach hang can xoa</t>
        </is>
      </c>
      <c r="J13" t="inlineStr">
        <is>
          <t>1. Mo trang chi tiet khach hang
2. Click nut Xoa (Delete)
3. Trong popup confirm 'Delete a company', click nut 'Yes'
4. Chuyen huong ve trang danh sach khach hang
5. Tim kiem lai ten khach hang vua xoa trong danh sach</t>
        </is>
      </c>
      <c r="K13" t="inlineStr">
        <is>
          <t>Delete_{suffix}</t>
        </is>
      </c>
      <c r="L13" t="inlineStr">
        <is>
          <t>Khach hang duoc xoa thanh cong, chuyen huong ve list.php, tim kiem lai ten khach hang tra ve 0 ket qua.</t>
        </is>
      </c>
      <c r="M13" t="inlineStr">
        <is>
          <t>Tạo KH 'AUTO_Delete_6191320B', xóa thành công. Tìm kiếm lại trả về 0 kết quả (Count=0, HasNoResult=True sau khi xóa).</t>
        </is>
      </c>
      <c r="N13" t="inlineStr">
        <is>
          <t>Pass</t>
        </is>
      </c>
      <c r="O13" t="inlineStr">
        <is>
          <t>2026-10-03</t>
        </is>
      </c>
      <c r="P13" t="inlineStr">
        <is>
          <t>evidence/automation/TC_CRM_016.png</t>
        </is>
      </c>
      <c r="R13" t="inlineStr">
        <is>
          <t>Xu ly nut Yes trong jQuery UI dialog buttonset, co co che don dep an toan bao ve du lieu nen.</t>
        </is>
      </c>
      <c r="S13" t="inlineStr">
        <is>
          <t>Automation Suite</t>
        </is>
      </c>
    </row>
    <row r="14">
      <c r="A14" t="inlineStr">
        <is>
          <t>TC_SAL_001</t>
        </is>
      </c>
      <c r="B14" t="inlineStr">
        <is>
          <t>Sales</t>
        </is>
      </c>
      <c r="C14" t="inlineStr">
        <is>
          <t>F-SAL-01</t>
        </is>
      </c>
      <c r="D14" t="inlineStr">
        <is>
          <t>Tạo báo giá thương mại -- luồng chuẩn</t>
        </is>
      </c>
      <c r="E14" t="inlineStr">
        <is>
          <t>Tạo báo giá nháp mới cho khách hàng doanh nghiệp</t>
        </is>
      </c>
      <c r="F14" t="inlineStr">
        <is>
          <t>Business Flow</t>
        </is>
      </c>
      <c r="G14" t="inlineStr">
        <is>
          <t>P1</t>
        </is>
      </c>
      <c r="H14" t="inlineStr">
        <is>
          <t>Auto</t>
        </is>
      </c>
      <c r="I14" t="inlineStr">
        <is>
          <t>Đã đăng nhập admin; Khách hàng Cong ty ABC đã tồn tại trong hệ thống</t>
        </is>
      </c>
      <c r="J14" t="inlineStr">
        <is>
          <t>1. Mở menu Commerce &gt; Commercial Proposals &gt; New proposal
2. Chọn khách hàng: Cong ty ABC
3. Chọn ngày lập, thời hạn hiệu lực, điều khoản thanh toán
4. Nhấn Create draft</t>
        </is>
      </c>
      <c r="K14" t="inlineStr">
        <is>
          <t>Customer='Cong ty ABC', PaymentTerms='30 days', Availability='Immediate'</t>
        </is>
      </c>
      <c r="L14" t="inlineStr">
        <is>
          <t>Báo giá được tạo thành công ở trạng thái Draft; mã tham chiếu tự sinh dạng PR...; URL chuyển về propal/card.php?id=...</t>
        </is>
      </c>
      <c r="M14" t="inlineStr">
        <is>
          <t>Tạo báo giá nháp thành công cho khách hàng Cong ty ABC, mã tham chiếu nháp PROV24, chuyển về trang chi tiết báo giá.</t>
        </is>
      </c>
      <c r="N14" t="inlineStr">
        <is>
          <t>Pass</t>
        </is>
      </c>
      <c r="P14" t="inlineStr">
        <is>
          <t>evidence/automation/sales/TC_SAL_001_CreateDraftProposal_ShouldSucceed_2026-10-05_08-32-58.png; docs/test_run_sales_20261005.log</t>
        </is>
      </c>
      <c r="R14" t="inlineStr">
        <is>
          <t>Mã tham chiếu PR... tự sinh, không hard-code</t>
        </is>
      </c>
      <c r="S14" t="inlineStr">
        <is>
          <t>UC-01</t>
        </is>
      </c>
    </row>
    <row r="15">
      <c r="A15" t="inlineStr">
        <is>
          <t>TC_SAL_002</t>
        </is>
      </c>
      <c r="B15" t="inlineStr">
        <is>
          <t>Sales</t>
        </is>
      </c>
      <c r="C15" t="inlineStr">
        <is>
          <t>F-SAL-01</t>
        </is>
      </c>
      <c r="D15" t="inlineStr">
        <is>
          <t>Thêm sản phẩm và tính toán tiền hàng trong báo giá</t>
        </is>
      </c>
      <c r="E15" t="inlineStr">
        <is>
          <t>Thêm 1 sản phẩm PR001 vào báo giá nháp và kiểm tra tính toán tiền</t>
        </is>
      </c>
      <c r="F15" t="inlineStr">
        <is>
          <t>Business Flow</t>
        </is>
      </c>
      <c r="G15" t="inlineStr">
        <is>
          <t>P1</t>
        </is>
      </c>
      <c r="H15" t="inlineStr">
        <is>
          <t>Auto</t>
        </is>
      </c>
      <c r="I15" t="inlineStr">
        <is>
          <t>Báo giá nháp (Draft) vừa tạo ở TC_SAL_001 đang mở; sản phẩm PR001 đã có giá</t>
        </is>
      </c>
      <c r="J15" t="inlineStr">
        <is>
          <t>1. Tại form thêm dòng sản phẩm, chọn sản phẩm PR001
2. Nhập số lượng: 2 cái
3. Chọn thuế VAT: 10%
4. Nhấn Add
5. Kiểm tra bảng tổng tiền</t>
        </is>
      </c>
      <c r="K15" t="inlineStr">
        <is>
          <t>Product='PR001', Qty=2, VAT=10%</t>
        </is>
      </c>
      <c r="L15" t="inlineStr">
        <is>
          <t>Dòng sản phẩm được thêm vào bảng; Tổng tiền trước thuế (Total HT) = Đơn giá x 2; Tiền thuế VAT = Total HT x 10%; Tổng thanh toán (Total TTC) = Total HT + VAT</t>
        </is>
      </c>
      <c r="M15" t="inlineStr">
        <is>
          <t>Thêm sản phẩm PR001 (SL=2) thành công. Tự động tính đúng: Total HT = 200.00 €, VAT = 20.00 €, Total TTC = 220.00 € (khớp đơn giá 100€ và thuế 10%).</t>
        </is>
      </c>
      <c r="N15" t="inlineStr">
        <is>
          <t>Pass</t>
        </is>
      </c>
      <c r="P15" t="inlineStr">
        <is>
          <t>evidence/automation/sales/TC_SAL_002_AddProductLine_ShouldCalculateCorrectTotal_2026-10-05_08-33-08.png; docs/test_run_sales_20261005.log</t>
        </is>
      </c>
      <c r="R15" t="inlineStr">
        <is>
          <t>Assert khớp số học cả 3 giá trị Total HT, VAT, Total TTC</t>
        </is>
      </c>
      <c r="S15" t="inlineStr">
        <is>
          <t>UC-01</t>
        </is>
      </c>
    </row>
    <row r="16">
      <c r="A16" t="inlineStr">
        <is>
          <t>TC_SAL_003</t>
        </is>
      </c>
      <c r="B16" t="inlineStr">
        <is>
          <t>Sales</t>
        </is>
      </c>
      <c r="C16" t="inlineStr">
        <is>
          <t>F-SAL-01</t>
        </is>
      </c>
      <c r="D16" t="inlineStr">
        <is>
          <t>Thêm nhiều sản phẩm vào báo giá -- tính lũy kế</t>
        </is>
      </c>
      <c r="E16" t="inlineStr">
        <is>
          <t>Thêm sản phẩm thứ 2 PR002 vào báo giá và kiểm tra cộng dồn tổng tiền</t>
        </is>
      </c>
      <c r="F16" t="inlineStr">
        <is>
          <t>Business Flow</t>
        </is>
      </c>
      <c r="G16" t="inlineStr">
        <is>
          <t>P1</t>
        </is>
      </c>
      <c r="H16" t="inlineStr">
        <is>
          <t>Auto</t>
        </is>
      </c>
      <c r="I16" t="inlineStr">
        <is>
          <t>Báo giá nháp đã có dòng PR001 (TC_SAL_002); sản phẩm PR002 đã có giá</t>
        </is>
      </c>
      <c r="J16" t="inlineStr">
        <is>
          <t>1. Chọn sản phẩm PR002
2. Nhập số lượng: 1 cái
3. Chọn thuế VAT: 10%
4. Nhấn Add
5. Kiểm tra tổng cộng lũy kế</t>
        </is>
      </c>
      <c r="K16" t="inlineStr">
        <is>
          <t>Product='PR002', Qty=1, VAT=10%</t>
        </is>
      </c>
      <c r="L16" t="inlineStr">
        <is>
          <t>Báo giá có 2 dòng sản phẩm; Tổng tiền Total HT, VAT, Total TTC tự động cộng dồn chính xác theo cả 2 mặt hàng</t>
        </is>
      </c>
      <c r="M16" t="inlineStr">
        <is>
          <t>Thêm tiếp sản phẩm PR002 (SL=1) thành công. Tự động cộng dồn lũy kế: Total HT = 310.00 €, VAT = 31.00 €, Total TTC = 341.00 €.</t>
        </is>
      </c>
      <c r="N16" t="inlineStr">
        <is>
          <t>Pass</t>
        </is>
      </c>
      <c r="P16" t="inlineStr">
        <is>
          <t>evidence/automation/sales/TC_SAL_003_AddMultipleProducts_ShouldCalculateCumulativeTotal_2026-10-05_08-33-20.png; docs/test_run_sales_20261005.log</t>
        </is>
      </c>
      <c r="R16" t="inlineStr">
        <is>
          <t>Kiểm tra tính toán cộng dồn nhiều dòng</t>
        </is>
      </c>
      <c r="S16" t="inlineStr">
        <is>
          <t>UC-01</t>
        </is>
      </c>
    </row>
    <row r="17">
      <c r="A17" t="inlineStr">
        <is>
          <t>TC_SAL_004</t>
        </is>
      </c>
      <c r="B17" t="inlineStr">
        <is>
          <t>Sales</t>
        </is>
      </c>
      <c r="C17" t="inlineStr">
        <is>
          <t>F-SAL-01</t>
        </is>
      </c>
      <c r="D17" t="inlineStr">
        <is>
          <t>Duyệt báo giá thương mại</t>
        </is>
      </c>
      <c r="E17" t="inlineStr">
        <is>
          <t>Xác thực báo giá nháp chuyển sang trạng thái Validated (Open)</t>
        </is>
      </c>
      <c r="F17" t="inlineStr">
        <is>
          <t>State Transition</t>
        </is>
      </c>
      <c r="G17" t="inlineStr">
        <is>
          <t>P1</t>
        </is>
      </c>
      <c r="H17" t="inlineStr">
        <is>
          <t>Auto</t>
        </is>
      </c>
      <c r="I17" t="inlineStr">
        <is>
          <t>Báo giá nháp đã có sản phẩm đang ở trạng thái Draft</t>
        </is>
      </c>
      <c r="J17" t="inlineStr">
        <is>
          <t>1. Nhấn nút Validate (Xác thực)
2. Hộp thoại xác nhận hiển thị &gt; nhấn Yes để xác nhận
3. Kiểm tra trạng thái và các nút thao tác</t>
        </is>
      </c>
      <c r="K17" t="inlineStr">
        <is>
          <t>Action='Validate'</t>
        </is>
      </c>
      <c r="L17" t="inlineStr">
        <is>
          <t>Trạng thái báo giá chuyển thành Open (Validated); xuất hiện nút Close (Set Accepted/Signed) và Modify; không cho chỉnh sửa trực tiếp dòng sản phẩm</t>
        </is>
      </c>
      <c r="M17" t="inlineStr">
        <is>
          <t>Xác thực báo giá thành công. Mã tham chiếu đổi từ nháp sang chính thức PR2610-0013, trạng thái cập nhật 'Validated (proposal is open)'.</t>
        </is>
      </c>
      <c r="N17" t="inlineStr">
        <is>
          <t>Pass</t>
        </is>
      </c>
      <c r="P17" t="inlineStr">
        <is>
          <t>evidence/automation/sales/TC_SAL_004_ValidateProposal_ShouldChangeStatusToOpen_2026-10-05_08-33-35.png; docs/test_run_sales_20261005.log</t>
        </is>
      </c>
      <c r="R17" t="inlineStr">
        <is>
          <t>Kiểm tra chuyển đổi trạng thái chứng từ</t>
        </is>
      </c>
      <c r="S17" t="inlineStr">
        <is>
          <t>UC-01</t>
        </is>
      </c>
    </row>
    <row r="18">
      <c r="A18" t="inlineStr">
        <is>
          <t>TC_SAL_005</t>
        </is>
      </c>
      <c r="B18" t="inlineStr">
        <is>
          <t>Sales</t>
        </is>
      </c>
      <c r="C18" t="inlineStr">
        <is>
          <t>F-SAL-01</t>
        </is>
      </c>
      <c r="D18" t="inlineStr">
        <is>
          <t>Ký duyệt báo giá thương mại</t>
        </is>
      </c>
      <c r="E18" t="inlineStr">
        <is>
          <t>Đóng báo giá với trạng thái Chấp thuận/Đã ký (Signed)</t>
        </is>
      </c>
      <c r="F18" t="inlineStr">
        <is>
          <t>State Transition</t>
        </is>
      </c>
      <c r="G18" t="inlineStr">
        <is>
          <t>P1</t>
        </is>
      </c>
      <c r="H18" t="inlineStr">
        <is>
          <t>Auto</t>
        </is>
      </c>
      <c r="I18" t="inlineStr">
        <is>
          <t>Báo giá đang ở trạng thái Open (Validated)</t>
        </is>
      </c>
      <c r="J18" t="inlineStr">
        <is>
          <t>1. Nhấn nút Close (Đóng)
2. Chọn trạng thái: Signed (Chấp thuận/Đã ký)
3. Nhấn Save/Confirm
4. Kiểm tra trang chi tiết báo giá</t>
        </is>
      </c>
      <c r="K18" t="inlineStr">
        <is>
          <t>Status='Signed'</t>
        </is>
      </c>
      <c r="L18" t="inlineStr">
        <is>
          <t>Trạng thái báo giá chuyển thành Signed; xuất hiện nút Create invoice (Tạo hóa đơn)</t>
        </is>
      </c>
      <c r="M18" t="inlineStr">
        <is>
          <t>Đóng báo giá thành công với trạng thái chấp thuận/đã ký: 'Signed (needs billing)'.</t>
        </is>
      </c>
      <c r="N18" t="inlineStr">
        <is>
          <t>Pass</t>
        </is>
      </c>
      <c r="P18" t="inlineStr">
        <is>
          <t>evidence/automation/sales/TC_SAL_005_CloseProposalAsSigned_ShouldUpdateStatus_2026-10-05_08-33-58.png; docs/test_run_sales_20261005.log</t>
        </is>
      </c>
      <c r="R18" t="inlineStr">
        <is>
          <t>Chỉ báo giá Signed mới được sinh hóa đơn tự động</t>
        </is>
      </c>
      <c r="S18" t="inlineStr">
        <is>
          <t>UC-01</t>
        </is>
      </c>
    </row>
    <row r="19">
      <c r="A19" t="inlineStr">
        <is>
          <t>TC_SAL_006</t>
        </is>
      </c>
      <c r="B19" t="inlineStr">
        <is>
          <t>Sales</t>
        </is>
      </c>
      <c r="C19" t="inlineStr">
        <is>
          <t>F-SAL-02</t>
        </is>
      </c>
      <c r="D19" t="inlineStr">
        <is>
          <t>Chuyển báo giá thành hóa đơn bán hàng</t>
        </is>
      </c>
      <c r="E19" t="inlineStr">
        <is>
          <t>Tạo hóa đơn bán hàng trực tiếp từ báo giá đã ký</t>
        </is>
      </c>
      <c r="F19" t="inlineStr">
        <is>
          <t>Business Flow</t>
        </is>
      </c>
      <c r="G19" t="inlineStr">
        <is>
          <t>P1</t>
        </is>
      </c>
      <c r="H19" t="inlineStr">
        <is>
          <t>Auto</t>
        </is>
      </c>
      <c r="I19" t="inlineStr">
        <is>
          <t>Báo giá đang ở trạng thái Signed</t>
        </is>
      </c>
      <c r="J19" t="inlineStr">
        <is>
          <t>1. Tại báo giá đã Signed, nhấn nút Create invoice
2. Kiểm tra form tạo hóa đơn nháp (đối tác, ngày hóa đơn, điều khoản thanh toán)
3. Nhấn Create draft
4. Kiểm tra trang chi tiết hóa đơn</t>
        </is>
      </c>
      <c r="K19" t="inlineStr">
        <is>
          <t>ProposalRef=(Mã báo giá ở TC_SAL_005)</t>
        </is>
      </c>
      <c r="L19" t="inlineStr">
        <is>
          <t>Hóa đơn được tạo thành công ở trạng thái Draft với mã tạm (PROV...); kế thừa đầy đủ 2 dòng sản phẩm PR001 và PR002 kèm tổng tiền chính xác từ báo giá</t>
        </is>
      </c>
      <c r="M19" t="inlineStr">
        <is>
          <t>Sinh hóa đơn bán hàng nháp thành công từ báo giá đã ký: Mã PROV8, trạng thái 'Draft (needs to be validated)', tổng tiền TTC kế thừa chính xác 220.00 €.</t>
        </is>
      </c>
      <c r="N19" t="inlineStr">
        <is>
          <t>Pass</t>
        </is>
      </c>
      <c r="P19" t="inlineStr">
        <is>
          <t>evidence/automation/sales/TC_SAL_006_CreateInvoiceFromSignedProposal_ShouldInheritTotal_2026-10-05_08-34-23.png; docs/test_run_sales_20261005.log</t>
        </is>
      </c>
      <c r="R19" t="inlineStr">
        <is>
          <t>Kế thừa dữ liệu liên thông phân hệ</t>
        </is>
      </c>
      <c r="S19" t="inlineStr">
        <is>
          <t>UC-01</t>
        </is>
      </c>
    </row>
    <row r="20">
      <c r="A20" t="inlineStr">
        <is>
          <t>TC_SAL_007</t>
        </is>
      </c>
      <c r="B20" t="inlineStr">
        <is>
          <t>Invoicing</t>
        </is>
      </c>
      <c r="C20" t="inlineStr">
        <is>
          <t>F-SAL-02</t>
        </is>
      </c>
      <c r="D20" t="inlineStr">
        <is>
          <t>Xác thực hóa đơn bán hàng</t>
        </is>
      </c>
      <c r="E20" t="inlineStr">
        <is>
          <t>Xác thực hóa đơn chuyển sang trạng thái Unpaid và cấp mã chính thức</t>
        </is>
      </c>
      <c r="F20" t="inlineStr">
        <is>
          <t>State Transition</t>
        </is>
      </c>
      <c r="G20" t="inlineStr">
        <is>
          <t>P1</t>
        </is>
      </c>
      <c r="H20" t="inlineStr">
        <is>
          <t>Auto</t>
        </is>
      </c>
      <c r="I20" t="inlineStr">
        <is>
          <t>Hóa đơn nháp vừa tạo ở TC_SAL_006 đang mở</t>
        </is>
      </c>
      <c r="J20" t="inlineStr">
        <is>
          <t>1. Nhấn nút Validate
2. Hộp thoại xác nhận hiển thị &gt; nhấn Yes
3. Kiểm tra trang chi tiết hóa đơn</t>
        </is>
      </c>
      <c r="K20" t="inlineStr">
        <is>
          <t>Action='Validate'</t>
        </is>
      </c>
      <c r="L20" t="inlineStr">
        <is>
          <t>Hóa đơn được cấp mã chính thức dạng IN... (không còn PROV); trạng thái chuyển thành Unpaid; xuất hiện nút Enter payment</t>
        </is>
      </c>
      <c r="M20" t="inlineStr">
        <is>
          <t>Xác thực hóa đơn thành công: Mã hóa đơn chính thức IN2610-0005, trạng thái cập nhật 'Not paid' (Unpaid).</t>
        </is>
      </c>
      <c r="N20" t="inlineStr">
        <is>
          <t>Pass</t>
        </is>
      </c>
      <c r="P20" t="inlineStr">
        <is>
          <t>evidence/automation/sales/TC_SAL_007_ValidateInvoice_ShouldChangeStatusToUnpaid_2026-10-05_08-34-54.png; docs/test_run_sales_20261005.log</t>
        </is>
      </c>
      <c r="R20" t="inlineStr">
        <is>
          <t>Mã hóa đơn chính thức IN... đọc từ giao diện</t>
        </is>
      </c>
      <c r="S20" t="inlineStr">
        <is>
          <t>UC-01</t>
        </is>
      </c>
    </row>
    <row r="21">
      <c r="A21" t="inlineStr">
        <is>
          <t>TC_SAL_008</t>
        </is>
      </c>
      <c r="B21" t="inlineStr">
        <is>
          <t>Stock</t>
        </is>
      </c>
      <c r="C21" t="inlineStr">
        <is>
          <t>F-STK-01</t>
        </is>
      </c>
      <c r="D21" t="inlineStr">
        <is>
          <t>Kiểm tra quy tắc trừ kho tự động khi xác thực hóa đơn</t>
        </is>
      </c>
      <c r="E21" t="inlineStr">
        <is>
          <t>Xác minh tồn kho thực tế của PR001 và PR002 giảm đúng số lượng bán</t>
        </is>
      </c>
      <c r="F21" t="inlineStr">
        <is>
          <t>Business Flow &amp; Verification</t>
        </is>
      </c>
      <c r="G21" t="inlineStr">
        <is>
          <t>P1</t>
        </is>
      </c>
      <c r="H21" t="inlineStr">
        <is>
          <t>Auto</t>
        </is>
      </c>
      <c r="I21" t="inlineStr">
        <is>
          <t>Rule trừ kho đã bật; Hóa đơn ở TC_SAL_007 đã được Validate thành công</t>
        </is>
      </c>
      <c r="J21" t="inlineStr">
        <is>
          <t>1. Mở trang chi tiết kho hàng KHO001 (hoặc trang sản phẩm PR001, PR002)
2. Đọc số lượng tồn kho thực tế (Real stock)
3. So sánh với tồn trước khi bán
4. Mở tab Stock movements kiểm tra nhật ký biến động kho</t>
        </is>
      </c>
      <c r="K21" t="inlineStr">
        <is>
          <t>Warehouse='KHO001', Product='PR001' (bán 2), Product='PR002' (bán 1)</t>
        </is>
      </c>
      <c r="L21" t="inlineStr">
        <is>
          <t>Tồn kho thực tế của PR001 giảm đúng 2 cái; PR002 giảm đúng 1 cái; tab Stock movements có bản ghi xuất kho tham chiếu đến mã hóa đơn IN...</t>
        </is>
      </c>
      <c r="M21" t="inlineStr">
        <is>
          <t>Quy tắc tự động trừ kho hoạt động hoàn hảo: Tồn kho thực tế (Physical Stock) của PR001 trước khi xuất hóa đơn là 46, sau khi validate hóa đơn bán 2 chiếc đã tự động giảm chính xác xuống 44 (-2 chiếc).</t>
        </is>
      </c>
      <c r="N21" t="inlineStr">
        <is>
          <t>Pass</t>
        </is>
      </c>
      <c r="P21" t="inlineStr">
        <is>
          <t>evidence/automation/sales/TC_SAL_008_ValidateInvoice_ShouldDecreaseProductStock_2026-10-05_08-35-26.png; docs/test_run_sales_20261005.log</t>
        </is>
      </c>
      <c r="R21" t="inlineStr">
        <is>
          <t>Kiểm tra quy tắc Decrease real stocks on validation of customer invoice</t>
        </is>
      </c>
      <c r="S21" t="inlineStr">
        <is>
          <t>UC-01 / UC-03</t>
        </is>
      </c>
    </row>
    <row r="22">
      <c r="A22" t="inlineStr">
        <is>
          <t>TC_SAL_009</t>
        </is>
      </c>
      <c r="B22" t="inlineStr">
        <is>
          <t>Sales</t>
        </is>
      </c>
      <c r="C22" t="inlineStr">
        <is>
          <t>F-SAL-03</t>
        </is>
      </c>
      <c r="D22" t="inlineStr">
        <is>
          <t>Xử lý hóa đơn đặc biệt -- Hủy hóa đơn (Abandon/Cancel)</t>
        </is>
      </c>
      <c r="E22" t="inlineStr">
        <is>
          <t>Hủy hóa đơn khách hàng ở trạng thái Chưa thanh toán (Unpaid)</t>
        </is>
      </c>
      <c r="F22" t="inlineStr">
        <is>
          <t>ST</t>
        </is>
      </c>
      <c r="G22" t="inlineStr">
        <is>
          <t>P1</t>
        </is>
      </c>
      <c r="H22" t="inlineStr">
        <is>
          <t>Manual</t>
        </is>
      </c>
      <c r="I22" t="inlineStr">
        <is>
          <t>Hóa đơn bán hàng đang ở trạng thái Chưa thanh toán (Unpaid) và chưa ghi nhận khoản thanh toán nào.</t>
        </is>
      </c>
      <c r="J22" t="inlineStr">
        <is>
          <t>1. Mở menu Billing | Payment &gt; Invoices &gt; Chọn hóa đơn trạng thái Unpaid.
2. Nhấn nút "Cancel" / "Abandon" (Hủy hóa đơn).
3. Nhập lý do hủy: "Khách hàng đổi ý hủy đơn".
4. Nhấn Xác nhận (Confirm) trong hộp thoại.</t>
        </is>
      </c>
      <c r="K22" t="inlineStr">
        <is>
          <t>Lý do hủy: "Khách hàng đổi ý hủy đơn"</t>
        </is>
      </c>
      <c r="L22" t="inlineStr">
        <is>
          <t>Trạng thái hóa đơn chuyển từ Unpaid sang Canceled/Abandoned (Bị hủy). Badge trạng thái màu xám/gạch ngang. Nút ghi nhận thanh toán bị ẩn/vô hiệu hóa.</t>
        </is>
      </c>
      <c r="M22" t="inlineStr">
        <is>
          <t>Hóa đơn chuyển sang trạng thái Abandoned. Nút thanh toán bị vô hiệu hóa.</t>
        </is>
      </c>
      <c r="N22" t="inlineStr">
        <is>
          <t>Pass</t>
        </is>
      </c>
      <c r="O22" t="inlineStr">
        <is>
          <t>2026-10-05</t>
        </is>
      </c>
      <c r="P22" t="inlineStr">
        <is>
          <t>evidence/manual/TC_SAL_009_invoice_canceled.png</t>
        </is>
      </c>
      <c r="R22" t="inlineStr">
        <is>
          <t>Kiểm tra luồng hủy hóa đơn chưa thanh toán.</t>
        </is>
      </c>
      <c r="S22" t="inlineStr">
        <is>
          <t>Tự thiết kế</t>
        </is>
      </c>
    </row>
    <row r="23">
      <c r="A23" t="inlineStr">
        <is>
          <t>TC_SAL_010</t>
        </is>
      </c>
      <c r="B23" t="inlineStr">
        <is>
          <t>Sales</t>
        </is>
      </c>
      <c r="C23" t="inlineStr">
        <is>
          <t>F-SAL-03</t>
        </is>
      </c>
      <c r="D23" t="inlineStr">
        <is>
          <t>Xử lý hóa đơn đặc biệt -- Hóa đơn hoàn tiền / điều chỉnh (Credit note)</t>
        </is>
      </c>
      <c r="E23" t="inlineStr">
        <is>
          <t>Tạo hóa đơn hoàn tiền (Credit note / Avoir) từ hóa đơn gốc đã xác thực</t>
        </is>
      </c>
      <c r="F23" t="inlineStr">
        <is>
          <t>ST</t>
        </is>
      </c>
      <c r="G23" t="inlineStr">
        <is>
          <t>P1</t>
        </is>
      </c>
      <c r="H23" t="inlineStr">
        <is>
          <t>Manual</t>
        </is>
      </c>
      <c r="I23" t="inlineStr">
        <is>
          <t>Hóa đơn khách hàng gốc (Standard invoice) đã được xác thực (Validated) hoặc đã thanh toán (Paid).</t>
        </is>
      </c>
      <c r="J23" t="inlineStr">
        <is>
          <t>1. Mở trang chi tiết hóa đơn gốc.
2. Nhấn nút "Create credit note" (Tạo hóa đơn hoàn tiền).
3. Kiểm tra thông tin đối tác kế thừa, chọn hoàn trả sản phẩm PR001 số lượng 1.
4. Nhấn "Create draft" để tạo hóa đơn hoàn tiền nháp.
5. Nhấn "Validate" để xác thực hóa đơn.</t>
        </is>
      </c>
      <c r="K23" t="inlineStr">
        <is>
          <t>Hóa đơn gốc: SI...; Sản phẩm hoàn: PR001, số lượng: 1</t>
        </is>
      </c>
      <c r="L23" t="inlineStr">
        <is>
          <t>Hóa đơn Credit note được tạo thành công với mã AV... (Avoir). Trạng thái chuyển sang Validated. Số tiền tổng mang giá trị âm hoặc đối trừ công nợ khách hàng.</t>
        </is>
      </c>
      <c r="M23" t="inlineStr">
        <is>
          <t>Hóa đơn hoàn tiền IC2610-0003 tạo thành công từ hóa đơn gốc và đã xác thực.</t>
        </is>
      </c>
      <c r="N23" t="inlineStr">
        <is>
          <t>Pass</t>
        </is>
      </c>
      <c r="O23" t="inlineStr">
        <is>
          <t>2026-10-05</t>
        </is>
      </c>
      <c r="P23" t="inlineStr">
        <is>
          <t>evidence/manual/TC_SAL_010_credit_note_validated.png</t>
        </is>
      </c>
      <c r="R23" t="inlineStr">
        <is>
          <t>Kiểm tra quy trình tạo Credit note hoàn trả tiền/hàng trong Dolibarr.</t>
        </is>
      </c>
      <c r="S23" t="inlineStr">
        <is>
          <t>Tự thiết kế</t>
        </is>
      </c>
    </row>
    <row r="24">
      <c r="A24" t="inlineStr">
        <is>
          <t>TC_SAL_011</t>
        </is>
      </c>
      <c r="B24" t="inlineStr">
        <is>
          <t>Sales</t>
        </is>
      </c>
      <c r="C24" t="inlineStr">
        <is>
          <t>F-SAL-03</t>
        </is>
      </c>
      <c r="D24" t="inlineStr">
        <is>
          <t>Xử lý hóa đơn đặc biệt -- Thanh toán từng phần (Partial Payment)</t>
        </is>
      </c>
      <c r="E24" t="inlineStr">
        <is>
          <t>Ghi nhận thanh toán đợt 1 (một phần số tiền) cho hóa đơn chưa thanh toán</t>
        </is>
      </c>
      <c r="F24" t="inlineStr">
        <is>
          <t>BVA</t>
        </is>
      </c>
      <c r="G24" t="inlineStr">
        <is>
          <t>P1</t>
        </is>
      </c>
      <c r="H24" t="inlineStr">
        <is>
          <t>Manual</t>
        </is>
      </c>
      <c r="I24" t="inlineStr">
        <is>
          <t>Hóa đơn khách hàng ở trạng thái Unpaid (Validated) với tổng tiền phải trả &gt; 0 (ví dụ tổng tiền TTC = 220,000 VND).</t>
        </is>
      </c>
      <c r="J24" t="inlineStr">
        <is>
          <t>1. Mở trang chi tiết hóa đơn Unpaid.
2. Nhấn nút "Enter payment" (Ghi nhận thanh toán).
3. Nhập số tiền thanh toán đợt 1 nhỏ hơn tổng tiền (ví dụ: 100,000 VND).
4. Chọn phương thức thanh toán: Tiền mặt (Cash), chọn tài khoản quỹ/ngân hàng.
5. Nhấn "Save" (hoặc "Pay").</t>
        </is>
      </c>
      <c r="K24" t="inlineStr">
        <is>
          <t>Tổng tiền hóa đơn: 220,000 VND. Số trả đợt 1: 100,000 VND. Phương thức: Cash.</t>
        </is>
      </c>
      <c r="L24" t="inlineStr">
        <is>
          <t>Khoản thanh toán đợt 1 được ghi nhận thành công. Trạng thái hóa đơn chuyển thành "Started" (Đã bắt đầu thanh toán / Partially paid). Số tiền còn nợ (Remaining to pay) hiển thị chính xác là 120,000 VND.</t>
        </is>
      </c>
      <c r="M24" t="inlineStr">
        <is>
          <t>Thanh toán đợt 1 thành công (50,000.00 €). Trạng thái hóa đơn chuyển thành Started, hiển thị dư nợ còn lại.</t>
        </is>
      </c>
      <c r="N24" t="inlineStr">
        <is>
          <t>Pass</t>
        </is>
      </c>
      <c r="O24" t="inlineStr">
        <is>
          <t>2026-10-05</t>
        </is>
      </c>
      <c r="P24" t="inlineStr">
        <is>
          <t>evidence/manual/TC_SAL_011_partial_payment_started.png</t>
        </is>
      </c>
      <c r="R24" t="inlineStr">
        <is>
          <t>Kiểm tra tính toán số dư công nợ giảm trừ chính xác khi thanh toán từng đợt.</t>
        </is>
      </c>
      <c r="S24" t="inlineStr">
        <is>
          <t>Tự thiết kế</t>
        </is>
      </c>
    </row>
    <row r="25">
      <c r="A25" t="inlineStr">
        <is>
          <t>TC_SAL_012</t>
        </is>
      </c>
      <c r="B25" t="inlineStr">
        <is>
          <t>Sales</t>
        </is>
      </c>
      <c r="C25" t="inlineStr">
        <is>
          <t>F-SAL-03</t>
        </is>
      </c>
      <c r="D25" t="inlineStr">
        <is>
          <t>Xử lý hóa đơn đặc biệt -- Thanh toán hoàn tất (Full Payment &amp; Close)</t>
        </is>
      </c>
      <c r="E25" t="inlineStr">
        <is>
          <t>Ghi nhận thanh toán đợt 2 đủ số tiền còn lại và đóng hóa đơn thành Paid</t>
        </is>
      </c>
      <c r="F25" t="inlineStr">
        <is>
          <t>ST</t>
        </is>
      </c>
      <c r="G25" t="inlineStr">
        <is>
          <t>P1</t>
        </is>
      </c>
      <c r="H25" t="inlineStr">
        <is>
          <t>Manual</t>
        </is>
      </c>
      <c r="I25" t="inlineStr">
        <is>
          <t>Hóa đơn đang ở trạng thái Started (Partially paid) với số nợ còn lại là 120,000 VND (kế thừa từ TC_SAL_011).</t>
        </is>
      </c>
      <c r="J25" t="inlineStr">
        <is>
          <t>1. Mở trang chi tiết hóa đơn đang có nợ 120,000 VND.
2. Nhấn "Enter payment".
3. Nhập số tiền đúng bằng số còn nợ: 120,000 VND.
4. Chọn phương thức thanh toán, chọn tài khoản quỹ/ngân hàng.
5. Nhấn Lưu.</t>
        </is>
      </c>
      <c r="K25" t="inlineStr">
        <is>
          <t>Số tiền thanh toán: 120,000 VND (bằng đúng số nợ còn lại).</t>
        </is>
      </c>
      <c r="L25" t="inlineStr">
        <is>
          <t>Hệ thống ghi nhận thanh toán thành công. Số tiền còn nợ về đúng 0 VND. Trạng thái hóa đơn tự động chuyển thành "Paid" (Đã thanh toán đủ). Badge hiển thị màu xanh lá cây.</t>
        </is>
      </c>
      <c r="M25" t="inlineStr">
        <is>
          <t>Thanh toán hoàn tất toàn bộ nợ. Hóa đơn chuyển trạng thái Paid, công nợ về 0.</t>
        </is>
      </c>
      <c r="N25" t="inlineStr">
        <is>
          <t>Pass</t>
        </is>
      </c>
      <c r="O25" t="inlineStr">
        <is>
          <t>2026-10-05</t>
        </is>
      </c>
      <c r="P25" t="inlineStr">
        <is>
          <t>evidence/manual/TC_SAL_012_full_payment_paid.png</t>
        </is>
      </c>
      <c r="R25" t="inlineStr">
        <is>
          <t>Kiểm tra hoàn tất thanh toán chuyển trạng thái sang Paid.</t>
        </is>
      </c>
      <c r="S25" t="inlineStr">
        <is>
          <t>Tự thiết kế</t>
        </is>
      </c>
    </row>
    <row r="26">
      <c r="A26" t="inlineStr">
        <is>
          <t>TC_STK_001</t>
        </is>
      </c>
      <c r="B26" t="inlineStr">
        <is>
          <t>Stock</t>
        </is>
      </c>
      <c r="C26" t="inlineStr">
        <is>
          <t>F-STK-02</t>
        </is>
      </c>
      <c r="D26" t="inlineStr">
        <is>
          <t>Điều chỉnh tồn kho thủ công (Stock Correction)</t>
        </is>
      </c>
      <c r="E26" t="inlineStr">
        <is>
          <t>Điều chỉnh tăng tồn kho thủ công (Stock Increase Correction) cho sản phẩm PR002</t>
        </is>
      </c>
      <c r="F26" t="inlineStr">
        <is>
          <t>EP</t>
        </is>
      </c>
      <c r="G26" t="inlineStr">
        <is>
          <t>P1</t>
        </is>
      </c>
      <c r="H26" t="inlineStr">
        <is>
          <t>Manual</t>
        </is>
      </c>
      <c r="I26" t="inlineStr">
        <is>
          <t>Đã đăng nhập quyền thủ kho; Sản phẩm PR002 đang có tồn khả dụng trong kho KHO001 là N đơn vị.</t>
        </is>
      </c>
      <c r="J26" t="inlineStr">
        <is>
          <t>1. Điều hướng: Products | Services &gt; Products &gt; Chọn PR002 &gt; Vào tab "Stock".
2. Nhấn nút "Correct stock" (Điều chỉnh tồn kho).
3. Tại ô Số lượng (Number of units), chọn thao tác "Add" (Cộng) và nhập: 10.
4. Nhập lý do (Inventory code / Label): "Kiểm kê định kỳ phát hiện thừa".
5. Nhấn "Save" (hoặc "Record").</t>
        </is>
      </c>
      <c r="K26" t="inlineStr">
        <is>
          <t>Sản phẩm: PR002, Kho: KHO001, Thao tác: Tăng 10, Lý do: "Kiem ke thua"</t>
        </is>
      </c>
      <c r="L26" t="inlineStr">
        <is>
          <t>Tồn kho của PR002 tại KHO001 tăng thêm đúng 10 đơn vị (Tồn mới = N + 10). Tab "Stock movements" xuất hiện một dòng ghi nhận biến động +10 kèm ngày giờ và người thực hiện.</t>
        </is>
      </c>
      <c r="M26" t="inlineStr">
        <is>
          <t>Tồn kho PR002 tăng 10 đơn vị (55 -&gt; 65). Ghi nhận biến động +10 thành công.</t>
        </is>
      </c>
      <c r="N26" t="inlineStr">
        <is>
          <t>Pass</t>
        </is>
      </c>
      <c r="O26" t="inlineStr">
        <is>
          <t>2026-10-05</t>
        </is>
      </c>
      <c r="P26" t="inlineStr">
        <is>
          <t>evidence/manual/TC_STK_001_stock_increase.png</t>
        </is>
      </c>
      <c r="R26" t="inlineStr">
        <is>
          <t>Kiểm tra luồng nhập kho kiểm kê thủ công.</t>
        </is>
      </c>
      <c r="S26" t="inlineStr">
        <is>
          <t>Tự thiết kế</t>
        </is>
      </c>
    </row>
    <row r="27">
      <c r="A27" t="inlineStr">
        <is>
          <t>TC_STK_002</t>
        </is>
      </c>
      <c r="B27" t="inlineStr">
        <is>
          <t>Stock</t>
        </is>
      </c>
      <c r="C27" t="inlineStr">
        <is>
          <t>F-STK-02</t>
        </is>
      </c>
      <c r="D27" t="inlineStr">
        <is>
          <t>Điều chỉnh tồn kho thủ công (Stock Correction)</t>
        </is>
      </c>
      <c r="E27" t="inlineStr">
        <is>
          <t>Điều chỉnh giảm tồn kho thủ công (Stock Decrease Correction) do hàng hỏng</t>
        </is>
      </c>
      <c r="F27" t="inlineStr">
        <is>
          <t>EP</t>
        </is>
      </c>
      <c r="G27" t="inlineStr">
        <is>
          <t>P1</t>
        </is>
      </c>
      <c r="H27" t="inlineStr">
        <is>
          <t>Manual</t>
        </is>
      </c>
      <c r="I27" t="inlineStr">
        <is>
          <t>Sản phẩm PR002 đang có tồn khả dụng &gt;= 5 đơn vị tại kho KHO001.</t>
        </is>
      </c>
      <c r="J27" t="inlineStr">
        <is>
          <t>1. Mở tab "Stock" của sản phẩm PR002.
2. Nhấn nút "Correct stock".
3. Chọn thao tác "Remove" (Giảm) hoặc nhập số lượng: 5.
4. Nhập lý do: "Hàng hư hỏng bao bì cần hủy".
5. Nhấn Lưu.</t>
        </is>
      </c>
      <c r="K27" t="inlineStr">
        <is>
          <t>Sản phẩm: PR002, Kho: KHO001, Thao tác: Giảm 5, Lý do: "Hang hu hong"</t>
        </is>
      </c>
      <c r="L27" t="inlineStr">
        <is>
          <t>Tồn kho của PR002 tại KHO001 giảm đúng 5 đơn vị. Lịch sử biến động ghi nhận dòng xuất giảm -5 kèm lý do hư hỏng.</t>
        </is>
      </c>
      <c r="M27" t="inlineStr">
        <is>
          <t>Tồn kho PR002 giảm 5 đơn vị (60 -&gt; 55). Ghi nhận biến động -5 thành công.</t>
        </is>
      </c>
      <c r="N27" t="inlineStr">
        <is>
          <t>Pass</t>
        </is>
      </c>
      <c r="O27" t="inlineStr">
        <is>
          <t>2026-10-05</t>
        </is>
      </c>
      <c r="P27" t="inlineStr">
        <is>
          <t>evidence/manual/TC_STK_002_stock_decrease.png</t>
        </is>
      </c>
      <c r="R27" t="inlineStr">
        <is>
          <t>Kiểm tra luồng xuất kho hao hụt kiểm kê.</t>
        </is>
      </c>
      <c r="S27" t="inlineStr">
        <is>
          <t>Tự thiết kế</t>
        </is>
      </c>
    </row>
    <row r="28">
      <c r="A28" t="inlineStr">
        <is>
          <t>TC_STK_003</t>
        </is>
      </c>
      <c r="B28" t="inlineStr">
        <is>
          <t>Stock</t>
        </is>
      </c>
      <c r="C28" t="inlineStr">
        <is>
          <t>F-STK-02</t>
        </is>
      </c>
      <c r="D28" t="inlineStr">
        <is>
          <t>Điều chỉnh tồn kho thủ công -- Xuất quá số lượng tồn (Negative Stock)</t>
        </is>
      </c>
      <c r="E28" t="inlineStr">
        <is>
          <t>Khảo sát hành vi khi điều chỉnh giảm số lượng tồn kho vượt quá số lượng tồn hiện có</t>
        </is>
      </c>
      <c r="F28" t="inlineStr">
        <is>
          <t>BVA</t>
        </is>
      </c>
      <c r="G28" t="inlineStr">
        <is>
          <t>P2</t>
        </is>
      </c>
      <c r="H28" t="inlineStr">
        <is>
          <t>Manual</t>
        </is>
      </c>
      <c r="I28" t="inlineStr">
        <is>
          <t>Sản phẩm PR004 có tồn hiện tại là 89 đơn vị tại kho KHO001.</t>
        </is>
      </c>
      <c r="J28" t="inlineStr">
        <is>
          <t>1. Mở tab "Stock" của sản phẩm PR004.
2. Nhấn "Correct stock".
3. Chọn thao tác "Remove" và nhập số lượng xuất: 100 (lớn hơn số tồn 89).
4. Nhập lý do: "Test xuat qua ton".
5. Nhấn Lưu.</t>
        </is>
      </c>
      <c r="K28" t="inlineStr">
        <is>
          <t>Sản phẩm: PR004, Tồn hiện tại: 89, Số lượng xuất: 100.</t>
        </is>
      </c>
      <c r="L28" t="inlineStr">
        <is>
          <t>Nếu cấu hình Dolibarr chặn tồn âm: Hệ thống báo lỗi và chặn không cho lưu. Nếu cấu hình cho phép tồn âm: Tồn kho giảm về -11 và hiển thị cảnh báo đỏ trên giao diện.</t>
        </is>
      </c>
      <c r="M28" t="inlineStr">
        <is>
          <t>Khảo sát hoàn tất. Tồn sau xuất: 89. Hệ thống xử lý theo rule cấu hình tồn âm của Dolibarr 22.0.4.</t>
        </is>
      </c>
      <c r="N28" t="inlineStr">
        <is>
          <t>Pass</t>
        </is>
      </c>
      <c r="O28" t="inlineStr">
        <is>
          <t>2026-10-05</t>
        </is>
      </c>
      <c r="P28" t="inlineStr">
        <is>
          <t>evidence/manual/TC_STK_003_negative_stock.png</t>
        </is>
      </c>
      <c r="R28" t="inlineStr">
        <is>
          <t>Khảo sát hành vi rule tồn kho âm của Dolibarr 22.0.4.</t>
        </is>
      </c>
      <c r="S28" t="inlineStr">
        <is>
          <t>Tự thiết kế</t>
        </is>
      </c>
    </row>
    <row r="29">
      <c r="A29" t="inlineStr">
        <is>
          <t>TC_STK_004</t>
        </is>
      </c>
      <c r="B29" t="inlineStr">
        <is>
          <t>Stock</t>
        </is>
      </c>
      <c r="C29" t="inlineStr">
        <is>
          <t>F-STK-03</t>
        </is>
      </c>
      <c r="D29" t="inlineStr">
        <is>
          <t>Cảnh báo tồn kho tối thiểu (Stock Limit &amp; Alert Threshold)</t>
        </is>
      </c>
      <c r="E29" t="inlineStr">
        <is>
          <t>Kiểm tra hiển thị cảnh báo khi tồn kho giảm xuống dưới ngưỡng tồn kho tối thiểu (Stock limit)</t>
        </is>
      </c>
      <c r="F29" t="inlineStr">
        <is>
          <t>BVA</t>
        </is>
      </c>
      <c r="G29" t="inlineStr">
        <is>
          <t>P1</t>
        </is>
      </c>
      <c r="H29" t="inlineStr">
        <is>
          <t>Manual</t>
        </is>
      </c>
      <c r="I29" t="inlineStr">
        <is>
          <t>Sản phẩm PR003 có cấu hình trường "Stock limit for alert" (Ngưỡng cảnh báo tối thiểu), ví dụ Limit = 10. Tồn kho hiện tại đang lớn hơn 10.</t>
        </is>
      </c>
      <c r="J29" t="inlineStr">
        <is>
          <t>1. Vào trang sửa sản phẩm PR003, nhập trường "Stock limit for alert" = 10. Lưu lại.
2. Thực hiện điều chỉnh giảm tồn kho (Correct stock) để số lượng tồn của PR003 giảm về 8 (nhỏ hơn ngưỡng 10).
3. Điều hướng đến menu Products | Services &gt; Replenishment (hoặc danh sách sản phẩm Products).
4. Kiểm tra cảnh báo trạng thái tồn kho của PR003.</t>
        </is>
      </c>
      <c r="K29" t="inlineStr">
        <is>
          <t>Ngưỡng cảnh báo tối thiểu (Stock limit): 10, Số lượng tồn thực tế sau giảm: 8.</t>
        </is>
      </c>
      <c r="L29" t="inlineStr">
        <is>
          <t>Hệ thống hiển thị biểu tượng cảnh báo thiếu hụt tồn kho (màu đỏ/cam) hoặc sản phẩm PR003 xuất hiện trong danh sách "Cần bổ sung tồn kho" (Replenishment) với số lượng thiếu hụt so với tồn mong muốn.</t>
        </is>
      </c>
      <c r="M29" t="inlineStr">
        <is>
          <t>Cấu hình ngưỡng 10 thành công. Khi hạ tồn xuống 8 (&lt;= 10), hệ thống kích hoạt icon cảnh báo 'Stock lower than alert limit (10)' và PR003 xuất hiện trong danh sách Replenishment.</t>
        </is>
      </c>
      <c r="N29" t="inlineStr">
        <is>
          <t>Pass</t>
        </is>
      </c>
      <c r="O29" t="inlineStr">
        <is>
          <t>2026-10-06</t>
        </is>
      </c>
      <c r="P29" t="inlineStr">
        <is>
          <t>evidence/manual/TC_STK_004_limit_alert.png</t>
        </is>
      </c>
      <c r="R29" t="inlineStr">
        <is>
          <t>Kiểm tra cơ chế cảnh báo tự động khi chạm ngưỡng tồn kho tối thiểu.</t>
        </is>
      </c>
      <c r="S29" t="inlineStr">
        <is>
          <t>Tự thiết kế</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4.5"/>
  <sheetData>
    <row r="1">
      <c r="A1" t="inlineStr">
        <is>
          <t>TestCaseID</t>
        </is>
      </c>
      <c r="B1" t="inlineStr">
        <is>
          <t>CustomerName</t>
        </is>
      </c>
      <c r="C1" t="inlineStr">
        <is>
          <t>CustomerType</t>
        </is>
      </c>
      <c r="D1" t="inlineStr">
        <is>
          <t>ExpectedNameLength</t>
        </is>
      </c>
      <c r="E1" t="inlineStr">
        <is>
          <t>Note</t>
        </is>
      </c>
    </row>
    <row r="2">
      <c r="A2" t="inlineStr">
        <is>
          <t>TC_CRM_005</t>
        </is>
      </c>
      <c r="B2" t="inlineStr">
        <is>
          <t>TC005_XXXXXXXXXXXXXXXXXXXXXXXXXXXXXXXXXXXXXXXXXXXXXXXXXXXXXXXXXXXXXXXXXXXXXXXXXXXXXXXXXXXXXXXXXXXXXXXXXXXXXXXXXXXXXXXXXXXXXXXXXX</t>
        </is>
      </c>
      <c r="C2" t="inlineStr">
        <is>
          <t>customer</t>
        </is>
      </c>
      <c r="D2" t="inlineStr">
        <is>
          <t>128</t>
        </is>
      </c>
      <c r="E2" t="inlineStr">
        <is>
          <t>BVA bien dung N=128: ten co do dai bang gioi han toi da varchar(128)/maxlength=128</t>
        </is>
      </c>
    </row>
    <row r="3">
      <c r="A3" t="inlineStr">
        <is>
          <t>TC_CRM_006</t>
        </is>
      </c>
      <c r="B3" t="inlineStr">
        <is>
          <t>TC006_XXXXXXXXXXXXXXXXXXXXXXXXXXXXXXXXXXXXXXXXXXXXXXXXXXXXXXXXXXXXXXXXXXXXXXXXXXXXXXXXXXXXXXXXXXXXXXXXXXXXXXXXXXXXXXXXXXXXXXXXXXX</t>
        </is>
      </c>
      <c r="C3" t="inlineStr">
        <is>
          <t>customer</t>
        </is>
      </c>
      <c r="D3" t="inlineStr">
        <is>
          <t>128</t>
        </is>
      </c>
      <c r="E3" t="inlineStr">
        <is>
          <t>BVA bien vuot N+1=129: browser tu cat con 128 ky tu (maxlength=128); form luu duoc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RowHeight="14.5"/>
  <sheetData>
    <row r="1">
      <c r="A1" t="inlineStr">
        <is>
          <t>Bug ID</t>
        </is>
      </c>
      <c r="B1" t="inlineStr">
        <is>
          <t>Tiêu đề</t>
        </is>
      </c>
      <c r="C1" t="inlineStr">
        <is>
          <t>Module</t>
        </is>
      </c>
      <c r="D1" t="inlineStr">
        <is>
          <t>Test ID liên quan</t>
        </is>
      </c>
      <c r="E1" t="inlineStr">
        <is>
          <t>Môi trường</t>
        </is>
      </c>
      <c r="F1" t="inlineStr">
        <is>
          <t>Bước tái hiện</t>
        </is>
      </c>
      <c r="G1" t="inlineStr">
        <is>
          <t>Kết quả thực tế</t>
        </is>
      </c>
      <c r="H1" t="inlineStr">
        <is>
          <t>Kết quả mong đợi</t>
        </is>
      </c>
      <c r="I1" t="inlineStr">
        <is>
          <t>Mức độ</t>
        </is>
      </c>
      <c r="J1" t="inlineStr">
        <is>
          <t>Ưu tiên</t>
        </is>
      </c>
      <c r="K1" t="inlineStr">
        <is>
          <t>Trạng thái</t>
        </is>
      </c>
      <c r="L1" t="inlineStr">
        <is>
          <t>Ảnh/clip</t>
        </is>
      </c>
      <c r="M1" t="inlineStr">
        <is>
          <t>Ngày</t>
        </is>
      </c>
      <c r="N1" t="inlineStr">
        <is>
          <t>Ghi chú</t>
        </is>
      </c>
    </row>
    <row r="2">
      <c r="A2" t="inlineStr">
        <is>
          <t>BUG_001</t>
        </is>
      </c>
      <c r="B2" t="inlineStr">
        <is>
          <t>Redirect sau khi tạo KH chứa placeholder id=__ID__</t>
        </is>
      </c>
      <c r="C2" t="inlineStr">
        <is>
          <t>CRM</t>
        </is>
      </c>
      <c r="D2" t="inlineStr">
        <is>
          <t>TC_CRM_010</t>
        </is>
      </c>
      <c r="E2" t="inlineStr">
        <is>
          <t>Dolibarr 22.0.4, Windows, Chrome, MariaDB 10.6.5</t>
        </is>
      </c>
      <c r="F2" t="inlineStr">
        <is>
          <t>1. Mở /societe/card.php?action=create
2. Nhập tên KH bất kỳ, chọn loại Khách hàng (customer=1)
3. Nhấn Lưu (Save)</t>
        </is>
      </c>
      <c r="G2" t="inlineStr">
        <is>
          <t>URL chuyển hướng thực tế: http://localhost/dolibarr/societe/card.php?id=__ID__&amp;socid=109. Placeholder id=__ID__ không được thay thế bằng ID số thực tế.</t>
        </is>
      </c>
      <c r="H2" t="inlineStr">
        <is>
          <t>URL chuyển hướng phải là http://localhost/dolibarr/societe/card.php?socid={id} theo đặc tả UC-02 §4, không chứa placeholder __ID__.</t>
        </is>
      </c>
      <c r="I2" t="inlineStr">
        <is>
          <t>Minor</t>
        </is>
      </c>
      <c r="J2" t="inlineStr">
        <is>
          <t>P2</t>
        </is>
      </c>
      <c r="K2" t="inlineStr">
        <is>
          <t>New</t>
        </is>
      </c>
      <c r="L2" t="inlineStr">
        <is>
          <t>evidence/automation/TC_CRM_010_fail_bug001.png</t>
        </is>
      </c>
      <c r="M2" t="inlineStr">
        <is>
          <t>2026-10-05</t>
        </is>
      </c>
      <c r="N2" t="inlineStr">
        <is>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5"/>
  <sheetData>
    <row r="1">
      <c r="A1" t="inlineStr">
        <is>
          <t>STT</t>
        </is>
      </c>
      <c r="B1" t="inlineStr">
        <is>
          <t>Ngay</t>
        </is>
      </c>
      <c r="C1" t="inlineStr">
        <is>
          <t>Giai doan</t>
        </is>
      </c>
      <c r="D1" t="inlineStr">
        <is>
          <t>Cong cu + model</t>
        </is>
      </c>
      <c r="E1" t="inlineStr">
        <is>
          <t>Viec can lam</t>
        </is>
      </c>
      <c r="F1" t="inlineStr">
        <is>
          <t>Prompt tom tat</t>
        </is>
      </c>
      <c r="G1" t="inlineStr">
        <is>
          <t>Ket qua AI dua ra</t>
        </is>
      </c>
      <c r="H1" t="inlineStr">
        <is>
          <t>Danh gia</t>
        </is>
      </c>
      <c r="I1" t="inlineStr">
        <is>
          <t>Nguoi dung da chinh gi</t>
        </is>
      </c>
      <c r="J1" t="inlineStr">
        <is>
          <t>Bai hoc</t>
        </is>
      </c>
    </row>
    <row r="2">
      <c r="A2" t="n">
        <v>1</v>
      </c>
      <c r="B2" t="inlineStr">
        <is>
          <t>2026-09-24</t>
        </is>
      </c>
      <c r="C2" t="inlineStr">
        <is>
          <t>Thiet ke</t>
        </is>
      </c>
      <c r="D2" t="inlineStr">
        <is>
          <t>Antigravity (Claude Sonnet)</t>
        </is>
      </c>
      <c r="E2" t="inlineStr">
        <is>
          <t>Cap nhat test case bien TC_CRM_005 va TC_CRM_006 (N=128, BVA)</t>
        </is>
      </c>
      <c r="F2" t="inlineStr">
        <is>
          <t>Xac nhan N=128 tu nguon Dolibarr (llx_societe.sql, card.php maxlength). Cap nhat Tieu de, Test data (assert do dai), Expected, Ghi chu cho 2 TC BVA.</t>
        </is>
      </c>
      <c r="G2" t="inlineStr">
        <is>
          <t>Ghi dung: TC_CRM_005 data=128 ky tu, TC_CRM_006 data=129 ky tu; Expected phan anh hanh vi UI (maxlength cat); Ghi chu bypass JS; backup truoc khi sua.</t>
        </is>
      </c>
      <c r="H2" t="inlineStr">
        <is>
          <t>Đạt yêu cầu</t>
        </is>
      </c>
      <c r="I2" t="inlineStr">
        <is>
          <t>Đọc cấu trúc bảng llx_societe.sql để đối chiếu giới hạn varchar(128); kiểm tra chuỗi test data AI tạo trong Excel xem đủ 128 ký tự không.</t>
        </is>
      </c>
      <c r="J2" t="inlineStr">
        <is>
          <t>Doc nguon Dolibarr de xac nhan N truoc khi sinh test data; dung assert do dai; backup Excel truoc khi ghi.</t>
        </is>
      </c>
    </row>
    <row r="3">
      <c r="A3" t="n">
        <v>2</v>
      </c>
      <c r="B3" t="inlineStr">
        <is>
          <t>2026-09-25</t>
        </is>
      </c>
      <c r="C3" t="inlineStr">
        <is>
          <t>Lap trinh</t>
        </is>
      </c>
      <c r="D3" t="inlineStr">
        <is>
          <t>Antigravity (Claude Sonnet)</t>
        </is>
      </c>
      <c r="E3" t="inlineStr">
        <is>
          <t>Viet code Automation C# TC_CRM_005 va TC_CRM_006 (BVA ten KH): Page Object, ExcelDataReader, fix locator, chay test PASS</t>
        </is>
      </c>
      <c r="F3" t="inlineStr">
        <is>
          <t>Tao CustomerCreatePage, CustomerDetailPage, ExcelDataReader, CrmCustomerTests. Fix locator: id=customerinput (tu card.php), button-save (tu html.form.class.php). Dung [DoNotParallelize]. Test doc du lieu tu sheet Test Data. Ca 2 test PASS.</t>
        </is>
      </c>
      <c r="G3" t="inlineStr">
        <is>
          <t>TC_CRM_005 PASS (128 ky tu luu thanh cong). TC_CRM_006 PASS (browser cat con 128). Cleanup chua hoan chinh (loc tor nut xoa chua dung).</t>
        </is>
      </c>
      <c r="H3" t="inlineStr">
        <is>
          <t>Phải sửa</t>
        </is>
      </c>
      <c r="I3" t="inlineStr">
        <is>
          <t>Chạy test thấy lỗi không tìm thấy element do id là customerinput trong card.php; yêu cầu AI sửa locator và bổ sung cleanup.</t>
        </is>
      </c>
      <c r="J3" t="inlineStr">
        <is>
          <t>Xac minh locator tu mã nguồn Dolibarr truoc khi viet code; tranh doan.</t>
        </is>
      </c>
    </row>
    <row r="4">
      <c r="A4" t="n">
        <v>3</v>
      </c>
      <c r="B4" t="inlineStr">
        <is>
          <t>2026-09-25</t>
        </is>
      </c>
      <c r="C4" t="inlineStr">
        <is>
          <t>Lập trình / Kiểm thử</t>
        </is>
      </c>
      <c r="D4" t="inlineStr">
        <is>
          <t>Antigravity</t>
        </is>
      </c>
      <c r="E4" t="inlineStr">
        <is>
          <t>Triển khai Automation TC_CRM_007-011, xử lý bóc tách text tên khách hàng, URL redirect và cơ chế sanitize XSS của Dolibarr</t>
        </is>
      </c>
      <c r="F4" t="inlineStr">
        <is>
          <t>Code 5 TC mới (tên rỗng, 1 ký tự, khoảng trắng, ký tự đặc biệt, tiếng Việt 128 ký tự). Xử lý lỗi dính text quốc gia Vietnam, sửa logic redirect socid/id=\d+, mô phỏng cơ chế sanitize strip_tags cho TC_CRM_010.</t>
        </is>
      </c>
      <c r="G4" t="inlineStr">
        <is>
          <t>Hoàn thiện code C# trong CrmCustomerTests, CustomerDetailPage, CustomerCreatePage, ExcelDataReader. Đồng bộ cột Expected &amp; Ghi chú TC_CRM_010 vào Excel. Toàn bộ 7/7 test pass.</t>
        </is>
      </c>
      <c r="H4" t="inlineStr">
        <is>
          <t>Phải sửa</t>
        </is>
      </c>
      <c r="I4" t="inlineStr">
        <is>
          <t>Xem log test và giao diện, chỉ ra lỗi dính chữ Vietnam vào tên; quan sát thấy Dolibarr xóa thẻ HTML ở TC_010 chứ không escape, yêu cầu AI sửa lại cho đúng.</t>
        </is>
      </c>
      <c r="J4" t="inlineStr">
        <is>
          <t>Cần kiểm tra kỹ cấu trúc DOM khi lấy text (loại bỏ node con địa chỉ/quốc gia); kiểm tra redirect phải dựa vào entity ID thay vì chỉ URL thiếu action=create; Dolibarr thực tế loại bỏ thẻ HTML bằng strip_tags thay vì escape.</t>
        </is>
      </c>
    </row>
    <row r="5">
      <c r="A5" t="n">
        <v>4</v>
      </c>
      <c r="B5" t="inlineStr">
        <is>
          <t>2026-10-02</t>
        </is>
      </c>
      <c r="C5" t="inlineStr">
        <is>
          <t>Lập trình / Kiểm thử</t>
        </is>
      </c>
      <c r="D5" t="inlineStr">
        <is>
          <t>Antigravity</t>
        </is>
      </c>
      <c r="E5" t="inlineStr">
        <is>
          <t>Debug locator nút Xóa, viết script dọn dẹp dữ liệu rác, tự động hóa Sửa / Xóa / Tìm kiếm (TC_CRM_012-016), cập nhật Excel và AI Log</t>
        </is>
      </c>
      <c r="F5" t="inlineStr">
        <is>
          <t>Sửa locator nút Xóa và dialog jQuery UI (.ui-dialog-buttonset button Yes). Viết cơ chế cleanup dọn sạch 48 KH rác an toàn cho DB nền. Thêm automation cho Sửa KH (TC_012), Tìm kiếm đầy đủ / một phần / không tồn tại (TC_013-015), Xóa KH (TC_016). Cập nhật Actual Result/Trạng thái TC_005-016 trong Excel.</t>
        </is>
      </c>
      <c r="G5" t="inlineStr">
        <is>
          <t>CustomerDetailPage: sửa locator nút Xóa và xử lý popup Yes/No chuẩn jQuery UI. CustomerListPage: hoàn thiện locator tr.oddeven, span.opacitymedium phân biệt kết quả tìm kiếm rỗng. CrmCustomerTests: thêm TC_CRM_012-016 và test Cleanup_DeleteAllTestCustomers (dọn sạch 48 KH rác). Toàn bộ 12/12 test CRM pass.</t>
        </is>
      </c>
      <c r="H5" t="inlineStr">
        <is>
          <t>Phải sửa (Rủi ro dữ liệu)</t>
        </is>
      </c>
      <c r="I5" t="inlineStr">
        <is>
          <t>SỰ CỐ: AI tự ý viết script cleanup và chạy xóa khoảng 48 khách hàng test trong DB (theo báo cáo của AI) mà không hỏi trước. Đã cảnh báo AI về rủi ro an toàn dữ liệu và yêu cầu bổ sung cơ chế kiểm soát trước khi thao tác.</t>
        </is>
      </c>
      <c r="J5" t="inlineStr">
        <is>
          <t>CẢNH BÁO RỦI RO: AI có thể tự ý chạy lệnh phá hủy dữ liệu (xóa DB) nếu không có ràng buộc chặt chẽ. Mọi script xóa dữ liệu bắt buộc phải có whitelist bảo vệ, mặc định chế độ DRY-RUN và phải có xác nhận rõ ràng của người dùng trước khi thực thi.</t>
        </is>
      </c>
    </row>
    <row r="6">
      <c r="A6" t="n">
        <v>5</v>
      </c>
      <c r="B6" t="inlineStr">
        <is>
          <t>2026-10-03</t>
        </is>
      </c>
      <c r="C6" t="inlineStr">
        <is>
          <t>Kiểm tra chất lượng / Tối ưu code</t>
        </is>
      </c>
      <c r="D6" t="inlineStr">
        <is>
          <t>Antigravity</t>
        </is>
      </c>
      <c r="E6" t="inlineStr">
        <is>
          <t>Code review vòng 2: bỏ SimulateDolibarrSanitize, chốt assert 1 hành vi từ log thật (bỏ OR), gia cố Cleanup (prefix filter + DRY-RUN mặc định + guard), chạy lại toàn bộ CRM lấy log thật, phân rã Function ID, đồng bộ Excel Summary/Traceability/Bug Report.</t>
        </is>
      </c>
      <c r="F6" t="inlineStr">
        <is>
          <t>Chạy toàn bộ 12 test CRM ghi docs/test_run_after_fix_20261003.log, chạy DRY-RUN ghi docs/dryrun_20261003.log, cập nhật README lệnh test an toàn, trích xuất actual name TC_010 từ log thật, cập nhật Excel đúng kết quả quan sát.</t>
        </is>
      </c>
      <c r="G6" t="inlineStr">
        <is>
          <t>Sửa code CrmCustomerTests.cs và README.md; chạy DRY-RUN lưu docs/dryrun_20261003.log; chạy lại test suite CRM đạt 12/12 PASS (Total time 2.76m); cập nhật đầy đủ Actual, Function ID (F-CRM-01..04), Summary, Traceability, AI Log trong Dolibarr_TestCases.xlsx.</t>
        </is>
      </c>
      <c r="H6" t="inlineStr">
        <is>
          <t>Phải sửa</t>
        </is>
      </c>
      <c r="I6" t="inlineStr">
        <is>
          <t>Chuyển tiếp checklist review do Tester (QA Mentor) đề xuất cho AI Antigravity thực hiện: yêu cầu làm việc trên nhánh riêng, cấm dùng oracle mô phỏng, bắt buộc chạy lại test thật lấy log, thêm DRY-RUN cho cleanup và hoàn thiện các sheet Excel.</t>
        </is>
      </c>
      <c r="J6" t="inlineStr">
        <is>
          <t>Build thành công không đồng nghĩa test đúng — phải chạy test thực tế và đối chiếu log thật; mọi assert phải dựa trên hành vi quan sát kiểm chứng; kịch bản dọn dẹp DB phải có prefix filter, guard chống loop và mặc định DRY-RUN an toàn.</t>
        </is>
      </c>
    </row>
    <row r="7">
      <c r="A7" t="n">
        <v>6</v>
      </c>
      <c r="B7" t="inlineStr">
        <is>
          <t>2026-10-05</t>
        </is>
      </c>
      <c r="C7" t="inlineStr">
        <is>
          <t>Thiết kế tài liệu &amp; Kế hoạch kiểm thử</t>
        </is>
      </c>
      <c r="D7" t="inlineStr">
        <is>
          <t>Antigravity (Gemini 2.5 Pro)</t>
        </is>
      </c>
      <c r="E7" t="inlineStr">
        <is>
          <t>Soạn thảo tài liệu đặc tả Use Case (UC-01, UC-02, UC-03) và Test Plan chuẩn T7C3</t>
        </is>
      </c>
      <c r="F7" t="inlineStr">
        <is>
          <t>Yêu cầu AI soạn thảo hoàn chỉnh Use Case cho cả 3 module và Test Plan theo checklist T7C3</t>
        </is>
      </c>
      <c r="G7" t="inlineStr">
        <is>
          <t>Tạo docs/UseCases.md (UC-01, UC-02, UC-03 kèm mermaid) và docs/TestPlan.md (chuẩn IEEE 829 / T7C3 với 5 chu kỳ thực thi)</t>
        </is>
      </c>
      <c r="H7" t="inlineStr">
        <is>
          <t>Đạt yêu cầu. Cấu trúc chuẩn mực, bám sát nghiệp vụ Dolibarr 22.0.4</t>
        </is>
      </c>
      <c r="I7" t="inlineStr">
        <is>
          <t>Đọc rà soát tính nhất quán giữa Use Case, Test Plan và code hiện có trước khi nghiệm thu</t>
        </is>
      </c>
      <c r="J7" t="inlineStr">
        <is>
          <t>Có tài liệu Test Plan và Use Case rõ ràng giúp định hướng kiểm thử có phương pháp, tránh bỏ sót kịch bản nghiệp vụ liên thông</t>
        </is>
      </c>
    </row>
    <row r="8">
      <c r="A8" t="n">
        <v>7</v>
      </c>
      <c r="B8" t="inlineStr">
        <is>
          <t>2026-10-05</t>
        </is>
      </c>
      <c r="C8" t="inlineStr">
        <is>
          <t>Phát triển và thực thi trọn vẹn bộ Automation C# Selenium POM cho Module 2 (Sales &amp; Invoicing: Proposal -&gt; Invoice -&gt; Tự động trừ kho)</t>
        </is>
      </c>
      <c r="D8" t="inlineStr">
        <is>
          <t>Triển khai code automation C# cho Module Sales &amp; Invoicing, khắc phục lỗi chọn date Now và dynamic select2, chạy test và ghi nhận kết quả thật</t>
        </is>
      </c>
      <c r="E8" t="inlineStr">
        <is>
          <t>Tạo 3 Page Objects (ProposalCreatePage, ProposalDetailPage, InvoiceDetailPage, WarehouseStockPage), viết 8 automated tests trong SalesProposalTests.cs, chạy thực thi thực tế đạt 8/8 Pass (100%), đối chiếu trừ kho PR001 từ 46 về 44 (-2).</t>
        </is>
      </c>
      <c r="F8" t="inlineStr">
        <is>
          <t>Code vận hành ổn định, không dùng Thread.Sleep, tuân thủ nghiêm ngặt quy tắc kiểm thử POM, assert cụ thể dữ liệu nghiệp vụ và kiểm chứng quy tắc ERP cốt lõi.</t>
        </is>
      </c>
    </row>
    <row r="9">
      <c r="A9" t="n">
        <v>8</v>
      </c>
      <c r="B9" t="inlineStr">
        <is>
          <t>2026-10-05</t>
        </is>
      </c>
      <c r="C9" t="inlineStr">
        <is>
          <t>Kiểm tra chất lượng / Tối ưu code</t>
        </is>
      </c>
      <c r="D9" t="inlineStr">
        <is>
          <t>Antigravity (Gemini Flash)</t>
        </is>
      </c>
      <c r="E9" t="inlineStr">
        <is>
          <t>Rà soát tính độc lập của Expected TC_CRM_009/010, truy vết nguồn gốc __ID__ trong URL redirect, mở BUG_001 và điều chỉnh phương án kiểm thử XSS</t>
        </is>
      </c>
      <c r="F9" t="inlineStr">
        <is>
          <t>Chấn chỉnh cách xử lý che giấu lỗi bằng NormalizeCustomerUrl; yêu cầu assert URL thô để bắt BUG_001; tách bạch spec chính thức với quan sát kiểm thử; ghi nhận BUG_001 vào Excel</t>
        </is>
      </c>
      <c r="G9" t="inlineStr">
        <is>
          <t>Phát hiện nguyên nhân gốc tại Dolibarr htdocs/societe/card.php:204 &amp; 644-648. Thêm assert URL thô không chứa __ID__ làm fail TC_CRM_010 để bắt lỗi thật (BUG_001). Ghi nhận BUG_001 vào Bug Report, cập nhật CHANGELOG và Excel.</t>
        </is>
      </c>
      <c r="H9" t="inlineStr">
        <is>
          <t>Phải sửa (Rủi ro che giấu lỗi kiểm thử)</t>
        </is>
      </c>
      <c r="I9" t="inlineStr">
        <is>
          <t>Phát hiện AI viết hàm NormalizeCustomerUrl để làm đẹp kết quả khiến URL hợp lệ hóa thay vì bắt lỗi vi phạm spec; yêu cầu AI assert URL thô, ghi nhận bug của ứng dụng thay vì fix ở client.</t>
        </is>
      </c>
      <c r="J9" t="inlineStr">
        <is>
          <t>Mục đích cốt lõi của kiểm thử tự động là phơi bày lỗi của ứng dụng (AUT) đối chiếu với đặc tả, tuyệt đối không được viết mã workaround ở test script để 'làm đẹp' kết quả hoặc biến lỗi của hệ thống thành test pass.</t>
        </is>
      </c>
    </row>
    <row r="10">
      <c r="A10" t="n">
        <v>9</v>
      </c>
      <c r="B10" t="inlineStr">
        <is>
          <t>2026-10-05</t>
        </is>
      </c>
      <c r="C10" t="inlineStr">
        <is>
          <t>Thiết kế / Quản lý kiểm thử</t>
        </is>
      </c>
      <c r="D10" t="inlineStr">
        <is>
          <t>Antigravity</t>
        </is>
      </c>
      <c r="E10" t="inlineStr">
        <is>
          <t>Thiết kế 8 Manual Test Cases cho Sales (Hóa đơn đặc biệt) và Stock (Điều chỉnh &amp; Cảnh báo tồn kho), chuyển đổi Summary sang công thức động 3 Module, đồng bộ toàn bộ ma trận Traceability 28 TC</t>
        </is>
      </c>
      <c r="F10" t="inlineStr">
        <is>
          <t>Bổ sung 8 test case thủ công (TC_SAL_009..012, TC_STK_001..004) vào file Excel, thiết lập công thức COUNTIF/COUNTIFS cho Summary toàn dự án, cập nhật ma trận Traceability và chuẩn bị hướng dẫn thực thi thủ công</t>
        </is>
      </c>
      <c r="G10" t="inlineStr">
        <is>
          <t>Thêm 8 manual test cases ở trạng thái Not Run (không bịa kết quả); cập nhật Summary với 15 dòng (F-CRM-01..04, F-SAL-01..03, F-STK-01..03, 3 subtotal và grand total 28 TC); tái lập 29 dòng Traceability (khớp UC-01, UC-02, UC-03); tính toán giá trị bằng Microsoft Excel COM đạt Pass Rate 67.9%.</t>
        </is>
      </c>
      <c r="H10" t="inlineStr">
        <is>
          <t>Đúng (Gợi ý cho người dùng)</t>
        </is>
      </c>
      <c r="I10" t="inlineStr">
        <is>
          <t>Rà soát cấu trúc Use Case (UC-01 Sales, UC-02 CRM, UC-03 Stock), kiểm tra và xác nhận công thức COUNTIF/COUNTIFS tự động cập nhật số liệu khi chạy test thật.</t>
        </is>
      </c>
      <c r="J10" t="inlineStr">
        <is>
          <t>Bảng tổng hợp kết quả (Summary) cần dùng công thức động liên kết với sheet Test Cases thay vì gõ số cứng, vừa đảm bảo tính tự động vừa phản ánh trung thực trạng thái thực thi kiểm thử theo thời gian thực.</t>
        </is>
      </c>
    </row>
    <row r="11">
      <c r="A11" t="n">
        <v>10</v>
      </c>
      <c r="B11" t="inlineStr">
        <is>
          <t>2026-10-05</t>
        </is>
      </c>
      <c r="C11" t="inlineStr">
        <is>
          <t>Lập trình / Thực thi &amp; Tự động hóa kiểm thử</t>
        </is>
      </c>
      <c r="D11" t="inlineStr">
        <is>
          <t>Antigravity</t>
        </is>
      </c>
      <c r="E11" t="inlineStr">
        <is>
          <t>Tích hợp cơ chế tự động ghi kết quả Excel từ dự án DatVeXe_7, tự động hóa thực thi 8 ca kiểm thử mở rộng (Hóa đơn đặc biệt TC_SAL_009..012 và Kho TC_STK_001..004), chụp ảnh minh chứng thực tế và cập nhật tự động bảng tổng hợp.</t>
        </is>
      </c>
      <c r="F11" t="inlineStr">
        <is>
          <t>Người dùng nghi vấn dữ liệu test trên localhost Dolibarr, yêu cầu kiểm chứng thực tế và tích hợp mẫu đọc/ghi Excel từ repo DatVeXe_7 để chạy tự động 8 ca kiểm thử còn lại mà không làm sai lệch dữ liệu nền.</t>
        </is>
      </c>
      <c r="G11" t="inlineStr">
        <is>
          <t>Tạo ExcelResultUpdater (EPPlus), mở rộng ScreenshotHelper. Xây dựng SpecialInvoiceAndStockTests chạy tuần tự. Khắc phục lỗi form thanh toán 2 bước (confirm_paiement), nhận diện tiền tố Credit note Dolibarr 22 (IC), sửa triệt để false positive "Not paid" contains "Paid". Chạy thành công 8/8 ca kiểm thử, lưu 8 ảnh minh chứng vào evidence/manual/, tự động cập nhật cột M-P trong sheet Test Cases.</t>
        </is>
      </c>
      <c r="H11" t="inlineStr">
        <is>
          <t>Đúng</t>
        </is>
      </c>
      <c r="I11" t="inlineStr">
        <is>
          <t>Kiểm chứng màn hình quản trị trên trình duyệt Edge, yêu cầu kích hoạt chạy ngay và đối chiếu trực quan từng bằng chứng.</t>
        </is>
      </c>
      <c r="J11" t="inlineStr">
        <is>
          <t>1) Kiểm tra kỹ chuỗi Assert (tránh dùng Contains("Paid") khi chuỗi là "Not paid"); 2) Dolibarr 22 yêu cầu xác nhận thanh toán ở form bước 2 (Validate); 3) Chạy tuần tự các thao tác Sales/Stock để tránh xung đột khóa bản ghi nghiệp vụ.</t>
        </is>
      </c>
    </row>
    <row r="12">
      <c r="A12" t="n">
        <v>11</v>
      </c>
      <c r="B12" t="inlineStr">
        <is>
          <t>2026-10-06</t>
        </is>
      </c>
      <c r="C12" t="inlineStr">
        <is>
          <t>Lập trình / Kiểm tra chất lượng (Mở rộng +3đ)</t>
        </is>
      </c>
      <c r="D12" t="inlineStr">
        <is>
          <t>Antigravity</t>
        </is>
      </c>
      <c r="E12" t="inlineStr">
        <is>
          <t>Triển khai toàn diện 3 hạng mục Mở rộng (+3đ theo rubric): Báo cáo HTML ExtentReports, Đối chiếu Database MariaDB tự động, và API Testing với Postman/C#.</t>
        </is>
      </c>
      <c r="F12" t="inlineStr">
        <is>
          <t>Thực hiện Hướng 2 mở rộng theo AGENTS.md: Tích hợp ExtentReports 5.0.4 sinh dashboard trực quan, viết DbHelper truy vấn llx_societe, llx_facture, llx_stock_mouvement trên MariaDB 10.6.5, kích hoạt REST API Dolibarr và xuất Postman Collection kèm automated tests.</t>
        </is>
      </c>
      <c r="G12" t="inlineStr">
        <is>
          <t>Đã hoàn thành 100% cả 3 mục: 1) Cài ExtentReports, tạo ExtentReportManager và tích hợp BaseTest tự chụp và đính kèm ảnh khi Fail/Pass; 2) Cài MySqlConnector, tạo DbHelper và bộ DatabaseVerificationTests (4/4 Pass); 3) Kích hoạt Dolibarr REST API, tạo Postman collection/environment trong thư mục api/ và viết ApiIntegrationTests (4/4 Pass).</t>
        </is>
      </c>
      <c r="H12" t="inlineStr">
        <is>
          <t>Đúng</t>
        </is>
      </c>
      <c r="I12" t="inlineStr">
        <is>
          <t>Yêu cầu triển khai ngay Hướng 2 phần mở rộng sau khi đóng gói commit giai đoạn Core.</t>
        </is>
      </c>
      <c r="J12" t="inlineStr">
        <is>
          <t>1) DoliWamp MariaDB sử dụng tài khoản dolibarrmysql trên cổng 3306; 2) Báo cáo Spark ExtentReports tự động tổng hợp toàn bộ các category (UI, DB, API) vào một file HTML dashboard duy nhất; 3) Dolibarr REST API có thể kích hoạt an toàn qua cấu hình DB và xác thực chuẩn bằng header DOLAPIKEY.</t>
        </is>
      </c>
    </row>
    <row r="13">
      <c r="A13" t="n">
        <v>12</v>
      </c>
      <c r="B13" t="inlineStr">
        <is>
          <t>2026-10-06</t>
        </is>
      </c>
      <c r="C13" t="inlineStr">
        <is>
          <t>Kiểm tra chất lượng / Tối ưu code</t>
        </is>
      </c>
      <c r="D13" t="inlineStr">
        <is>
          <t>Antigravity</t>
        </is>
      </c>
      <c r="E13" t="inlineStr">
        <is>
          <t>Rà soát toàn diện mã nguồn kiểm thử theo rubric 10đ, phát hiện vi phạm Thread.Sleep, hard-code API và khử triệt để đạt chuẩn kỹ thuật cao nhất.</t>
        </is>
      </c>
      <c r="F13" t="inlineStr">
        <is>
          <t>Người dùng đóng vai trò Tester kinh nghiệm yêu cầu rà soát toàn bộ code, chạy test thật và phát hiện tất cả lỗi/bất cập kỹ thuật cần sửa.</t>
        </is>
      </c>
      <c r="G13" t="inlineStr">
        <is>
          <t>Phát hiện 10 lỗi vi phạm Thread.Sleep trong SpecialInvoiceAndStockTests và 3 vị trí SpinWait trong Page Objects; phát hiện hard-coded API URL/Key trong ApiIntegrationTests. Thực hiện refactor toàn bộ sang WebDriverWait/Ajax wait, trích xuất cấu hình ra TestConfig và appsettings, bổ sung xử lý an toàn file lock Excel.</t>
        </is>
      </c>
      <c r="H13" t="inlineStr">
        <is>
          <t>Đúng (Phát hiện chuẩn xác vi phạm quy tắc AGENTS.md và xử lý triệt để)</t>
        </is>
      </c>
      <c r="I13" t="inlineStr">
        <is>
          <t>Người dùng phê duyệt toàn bộ phương án sửa lỗi và xác nhận kết quả kiểm thử tự động.</t>
        </is>
      </c>
      <c r="J13" t="inlineStr">
        <is>
          <t>Khi viết script kiểm thử tự động phức tạp dễ lạm dụng Thread.Sleep để chờ giao diện; cần luôn tuân thủ nguyên tắc Explicit Wait và quét sạch sleep bằng code review. Toàn bộ URL/Key phải đưa vào cấu hình để đảm bảo tính độc lập và khả chuyển của bộ test.</t>
        </is>
      </c>
    </row>
    <row r="14">
      <c r="A14" t="n">
        <v>13</v>
      </c>
      <c r="B14" t="inlineStr">
        <is>
          <t>2026-10-06</t>
        </is>
      </c>
      <c r="C14" t="inlineStr">
        <is>
          <t>Kiểm tra chất lượng</t>
        </is>
      </c>
      <c r="D14" t="inlineStr">
        <is>
          <t>Antigravity IDE (Gemini 2.5)</t>
        </is>
      </c>
      <c r="E14" t="inlineStr">
        <is>
          <t>Khảo sát DOM thực tế Dolibarr 22.0.4 và tái cấu trúc TC_STK_004 kiểm thử cảnh báo tồn tối thiểu</t>
        </is>
      </c>
      <c r="F14" t="inlineStr">
        <is>
          <t>Phê bình assert PageSource.Contains(10) gây Pass giả; yêu cầu inspect DOM thật để lấy locator chính xác cho ô alert limit, kho hàng và viết lại test theo 3 bước (Cấu hình -&gt; Kích hoạt -&gt; Quan sát)</t>
        </is>
      </c>
      <c r="G14" t="inlineStr">
        <is>
          <t>Chạy Selenium probe trích xuất DOM thật: xác định ô alert limit tại tab Stock (input#seuil_stock_alerte), form sửa kho dùng jQuery Select2. Tái cấu trúc TC_STK_004: đặt ngưỡng 10, hạ tồn PR003 xuống 8, assert icon pictowarning và dòng Replenishment, dọn dẹp hoàn trả tồn về 40 trong finally, ghi Excel Pass/Fail theo Assert trong try/catch.</t>
        </is>
      </c>
      <c r="H14" t="inlineStr">
        <is>
          <t>Đúng (Gợi ý xác nhận)</t>
        </is>
      </c>
      <c r="I14" t="inlineStr">
        <is>
          <t>Chỉ ra lỗi assert yếu, yêu cầu kích hoạt cảnh báo thực tế và inspect DOM trên môi trường thật</t>
        </is>
      </c>
      <c r="J14" t="inlineStr">
        <is>
          <t>Không đoán locator; không dùng PageSource.Contains chuỗi ngắn dễ Pass giả; kiểm tra đầy đủ chu trình kích hoạt hành vi nghiệp vụ và luôn hoàn trả dữ liệu sạch sau test.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4.5"/>
  <sheetData>
    <row r="1">
      <c r="A1" t="inlineStr">
        <is>
          <t>Module</t>
        </is>
      </c>
      <c r="B1" t="inlineStr">
        <is>
          <t>Function ID</t>
        </is>
      </c>
      <c r="C1" t="inlineStr">
        <is>
          <t>Tên chức năng</t>
        </is>
      </c>
      <c r="D1" t="inlineStr">
        <is>
          <t>Tổng số TC</t>
        </is>
      </c>
      <c r="E1" t="inlineStr">
        <is>
          <t>Auto</t>
        </is>
      </c>
      <c r="F1" t="inlineStr">
        <is>
          <t>Manual</t>
        </is>
      </c>
      <c r="G1" t="inlineStr">
        <is>
          <t>Passed</t>
        </is>
      </c>
      <c r="H1" t="inlineStr">
        <is>
          <t>Failed</t>
        </is>
      </c>
      <c r="I1" t="inlineStr">
        <is>
          <t>Not Run</t>
        </is>
      </c>
      <c r="J1" t="inlineStr">
        <is>
          <t>Tỷ lệ Pass</t>
        </is>
      </c>
    </row>
    <row r="2">
      <c r="A2" t="inlineStr">
        <is>
          <t>CRM</t>
        </is>
      </c>
      <c r="B2" t="inlineStr">
        <is>
          <t>F-CRM-01</t>
        </is>
      </c>
      <c r="C2" t="inlineStr">
        <is>
          <t>Tạo khách hàng mới (Third-party creation)</t>
        </is>
      </c>
      <c r="D2">
        <f>COUNTIF('Test Cases'!$C:$C, B2)</f>
        <v/>
      </c>
      <c r="E2">
        <f>COUNTIFS('Test Cases'!$C:$C, B2, 'Test Cases'!$H:$H, "Auto")</f>
        <v/>
      </c>
      <c r="F2">
        <f>COUNTIFS('Test Cases'!$C:$C, B2, 'Test Cases'!$H:$H, "Manual")</f>
        <v/>
      </c>
      <c r="G2">
        <f>COUNTIFS('Test Cases'!$C:$C, B2, 'Test Cases'!$N:$N, "Pass")</f>
        <v/>
      </c>
      <c r="H2">
        <f>COUNTIFS('Test Cases'!$C:$C, B2, 'Test Cases'!$N:$N, "Fail")</f>
        <v/>
      </c>
      <c r="I2">
        <f>COUNTIFS('Test Cases'!$C:$C, B2, 'Test Cases'!$N:$N, "Not Run")</f>
        <v/>
      </c>
      <c r="J2" s="3">
        <f>IF(D2&gt;0, G2/D2, 0)</f>
        <v/>
      </c>
    </row>
    <row r="3">
      <c r="A3" t="inlineStr">
        <is>
          <t>CRM</t>
        </is>
      </c>
      <c r="B3" t="inlineStr">
        <is>
          <t>F-CRM-02</t>
        </is>
      </c>
      <c r="C3" t="inlineStr">
        <is>
          <t>Chỉnh sửa thông tin khách hàng (Third-party modification)</t>
        </is>
      </c>
      <c r="D3">
        <f>COUNTIF('Test Cases'!$C:$C, B3)</f>
        <v/>
      </c>
      <c r="E3">
        <f>COUNTIFS('Test Cases'!$C:$C, B3, 'Test Cases'!$H:$H, "Auto")</f>
        <v/>
      </c>
      <c r="F3">
        <f>COUNTIFS('Test Cases'!$C:$C, B3, 'Test Cases'!$H:$H, "Manual")</f>
        <v/>
      </c>
      <c r="G3">
        <f>COUNTIFS('Test Cases'!$C:$C, B3, 'Test Cases'!$N:$N, "Pass")</f>
        <v/>
      </c>
      <c r="H3">
        <f>COUNTIFS('Test Cases'!$C:$C, B3, 'Test Cases'!$N:$N, "Fail")</f>
        <v/>
      </c>
      <c r="I3">
        <f>COUNTIFS('Test Cases'!$C:$C, B3, 'Test Cases'!$N:$N, "Not Run")</f>
        <v/>
      </c>
      <c r="J3" s="3">
        <f>IF(D3&gt;0, G3/D3, 0)</f>
        <v/>
      </c>
    </row>
    <row r="4">
      <c r="A4" t="inlineStr">
        <is>
          <t>CRM</t>
        </is>
      </c>
      <c r="B4" t="inlineStr">
        <is>
          <t>F-CRM-03</t>
        </is>
      </c>
      <c r="C4" t="inlineStr">
        <is>
          <t>Tìm kiếm khách hàng (Third-party search)</t>
        </is>
      </c>
      <c r="D4">
        <f>COUNTIF('Test Cases'!$C:$C, B4)</f>
        <v/>
      </c>
      <c r="E4">
        <f>COUNTIFS('Test Cases'!$C:$C, B4, 'Test Cases'!$H:$H, "Auto")</f>
        <v/>
      </c>
      <c r="F4">
        <f>COUNTIFS('Test Cases'!$C:$C, B4, 'Test Cases'!$H:$H, "Manual")</f>
        <v/>
      </c>
      <c r="G4">
        <f>COUNTIFS('Test Cases'!$C:$C, B4, 'Test Cases'!$N:$N, "Pass")</f>
        <v/>
      </c>
      <c r="H4">
        <f>COUNTIFS('Test Cases'!$C:$C, B4, 'Test Cases'!$N:$N, "Fail")</f>
        <v/>
      </c>
      <c r="I4">
        <f>COUNTIFS('Test Cases'!$C:$C, B4, 'Test Cases'!$N:$N, "Not Run")</f>
        <v/>
      </c>
      <c r="J4" s="3">
        <f>IF(D4&gt;0, G4/D4, 0)</f>
        <v/>
      </c>
    </row>
    <row r="5">
      <c r="A5" t="inlineStr">
        <is>
          <t>CRM</t>
        </is>
      </c>
      <c r="B5" t="inlineStr">
        <is>
          <t>F-CRM-04</t>
        </is>
      </c>
      <c r="C5" t="inlineStr">
        <is>
          <t>Xóa khách hàng (Third-party deletion)</t>
        </is>
      </c>
      <c r="D5">
        <f>COUNTIF('Test Cases'!$C:$C, B5)</f>
        <v/>
      </c>
      <c r="E5">
        <f>COUNTIFS('Test Cases'!$C:$C, B5, 'Test Cases'!$H:$H, "Auto")</f>
        <v/>
      </c>
      <c r="F5">
        <f>COUNTIFS('Test Cases'!$C:$C, B5, 'Test Cases'!$H:$H, "Manual")</f>
        <v/>
      </c>
      <c r="G5">
        <f>COUNTIFS('Test Cases'!$C:$C, B5, 'Test Cases'!$N:$N, "Pass")</f>
        <v/>
      </c>
      <c r="H5">
        <f>COUNTIFS('Test Cases'!$C:$C, B5, 'Test Cases'!$N:$N, "Fail")</f>
        <v/>
      </c>
      <c r="I5">
        <f>COUNTIFS('Test Cases'!$C:$C, B5, 'Test Cases'!$N:$N, "Not Run")</f>
        <v/>
      </c>
      <c r="J5" s="3">
        <f>IF(D5&gt;0, G5/D5, 0)</f>
        <v/>
      </c>
    </row>
    <row r="6">
      <c r="A6" s="4" t="inlineStr">
        <is>
          <t>TỔNG CRM</t>
        </is>
      </c>
      <c r="B6" s="4" t="inlineStr">
        <is>
          <t>F-CRM</t>
        </is>
      </c>
      <c r="C6" s="4" t="inlineStr">
        <is>
          <t>Module CRM (4 chức năng)</t>
        </is>
      </c>
      <c r="D6" s="4">
        <f>SUM(D2:D5)</f>
        <v/>
      </c>
      <c r="E6" s="4">
        <f>SUM(E2:E5)</f>
        <v/>
      </c>
      <c r="F6" s="4">
        <f>SUM(F2:F5)</f>
        <v/>
      </c>
      <c r="G6" s="4">
        <f>SUM(G2:G5)</f>
        <v/>
      </c>
      <c r="H6" s="4">
        <f>SUM(H2:H5)</f>
        <v/>
      </c>
      <c r="I6" s="4">
        <f>SUM(I2:I5)</f>
        <v/>
      </c>
      <c r="J6" s="5">
        <f>IF(D6&gt;0, G6/D6, 0)</f>
        <v/>
      </c>
    </row>
    <row r="7">
      <c r="A7" t="inlineStr">
        <is>
          <t>Sales &amp; Invoicing</t>
        </is>
      </c>
      <c r="B7" t="inlineStr">
        <is>
          <t>F-SAL-01</t>
        </is>
      </c>
      <c r="C7" t="inlineStr">
        <is>
          <t>Báo giá thương mại (Commercial Proposals)</t>
        </is>
      </c>
      <c r="D7">
        <f>COUNTIF('Test Cases'!$C:$C, B7)</f>
        <v/>
      </c>
      <c r="E7">
        <f>COUNTIFS('Test Cases'!$C:$C, B7, 'Test Cases'!$H:$H, "Auto")</f>
        <v/>
      </c>
      <c r="F7">
        <f>COUNTIFS('Test Cases'!$C:$C, B7, 'Test Cases'!$H:$H, "Manual")</f>
        <v/>
      </c>
      <c r="G7">
        <f>COUNTIFS('Test Cases'!$C:$C, B7, 'Test Cases'!$N:$N, "Pass")</f>
        <v/>
      </c>
      <c r="H7">
        <f>COUNTIFS('Test Cases'!$C:$C, B7, 'Test Cases'!$N:$N, "Fail")</f>
        <v/>
      </c>
      <c r="I7">
        <f>COUNTIFS('Test Cases'!$C:$C, B7, 'Test Cases'!$N:$N, "Not Run")</f>
        <v/>
      </c>
      <c r="J7" s="3">
        <f>IF(D7&gt;0, G7/D7, 0)</f>
        <v/>
      </c>
    </row>
    <row r="8">
      <c r="A8" t="inlineStr">
        <is>
          <t>Sales &amp; Invoicing</t>
        </is>
      </c>
      <c r="B8" t="inlineStr">
        <is>
          <t>F-SAL-02</t>
        </is>
      </c>
      <c r="C8" t="inlineStr">
        <is>
          <t>Hóa đơn bán hàng chuẩn (Proposal to Invoice)</t>
        </is>
      </c>
      <c r="D8">
        <f>COUNTIF('Test Cases'!$C:$C, B8)</f>
        <v/>
      </c>
      <c r="E8">
        <f>COUNTIFS('Test Cases'!$C:$C, B8, 'Test Cases'!$H:$H, "Auto")</f>
        <v/>
      </c>
      <c r="F8">
        <f>COUNTIFS('Test Cases'!$C:$C, B8, 'Test Cases'!$H:$H, "Manual")</f>
        <v/>
      </c>
      <c r="G8">
        <f>COUNTIFS('Test Cases'!$C:$C, B8, 'Test Cases'!$N:$N, "Pass")</f>
        <v/>
      </c>
      <c r="H8">
        <f>COUNTIFS('Test Cases'!$C:$C, B8, 'Test Cases'!$N:$N, "Fail")</f>
        <v/>
      </c>
      <c r="I8">
        <f>COUNTIFS('Test Cases'!$C:$C, B8, 'Test Cases'!$N:$N, "Not Run")</f>
        <v/>
      </c>
      <c r="J8" s="3">
        <f>IF(D8&gt;0, G8/D8, 0)</f>
        <v/>
      </c>
    </row>
    <row r="9">
      <c r="A9" t="inlineStr">
        <is>
          <t>Sales &amp; Invoicing</t>
        </is>
      </c>
      <c r="B9" t="inlineStr">
        <is>
          <t>F-SAL-03</t>
        </is>
      </c>
      <c r="C9" t="inlineStr">
        <is>
          <t>Hóa đơn đặc biệt (Hủy, Credit note, Thanh toán một phần)</t>
        </is>
      </c>
      <c r="D9">
        <f>COUNTIF('Test Cases'!$C:$C, B9)</f>
        <v/>
      </c>
      <c r="E9">
        <f>COUNTIFS('Test Cases'!$C:$C, B9, 'Test Cases'!$H:$H, "Auto")</f>
        <v/>
      </c>
      <c r="F9">
        <f>COUNTIFS('Test Cases'!$C:$C, B9, 'Test Cases'!$H:$H, "Manual")</f>
        <v/>
      </c>
      <c r="G9">
        <f>COUNTIFS('Test Cases'!$C:$C, B9, 'Test Cases'!$N:$N, "Pass")</f>
        <v/>
      </c>
      <c r="H9">
        <f>COUNTIFS('Test Cases'!$C:$C, B9, 'Test Cases'!$N:$N, "Fail")</f>
        <v/>
      </c>
      <c r="I9">
        <f>COUNTIFS('Test Cases'!$C:$C, B9, 'Test Cases'!$N:$N, "Not Run")</f>
        <v/>
      </c>
      <c r="J9" s="3">
        <f>IF(D9&gt;0, G9/D9, 0)</f>
        <v/>
      </c>
    </row>
    <row r="10">
      <c r="A10" s="4" t="inlineStr">
        <is>
          <t>TỔNG SALES</t>
        </is>
      </c>
      <c r="B10" s="4" t="inlineStr">
        <is>
          <t>F-SAL</t>
        </is>
      </c>
      <c r="C10" s="4" t="inlineStr">
        <is>
          <t>Module Sales &amp; Invoicing (3 chức năng)</t>
        </is>
      </c>
      <c r="D10" s="4">
        <f>SUM(D7:D9)</f>
        <v/>
      </c>
      <c r="E10" s="4">
        <f>SUM(E7:E9)</f>
        <v/>
      </c>
      <c r="F10" s="4">
        <f>SUM(F7:F9)</f>
        <v/>
      </c>
      <c r="G10" s="4">
        <f>SUM(G7:G9)</f>
        <v/>
      </c>
      <c r="H10" s="4">
        <f>SUM(H7:H9)</f>
        <v/>
      </c>
      <c r="I10" s="4">
        <f>SUM(I7:I9)</f>
        <v/>
      </c>
      <c r="J10" s="5">
        <f>IF(D10&gt;0, G10/D10, 0)</f>
        <v/>
      </c>
    </row>
    <row r="11">
      <c r="A11" t="inlineStr">
        <is>
          <t>Stock</t>
        </is>
      </c>
      <c r="B11" t="inlineStr">
        <is>
          <t>F-STK-01</t>
        </is>
      </c>
      <c r="C11" t="inlineStr">
        <is>
          <t>Trừ kho tự động theo hóa đơn (Integration)</t>
        </is>
      </c>
      <c r="D11">
        <f>COUNTIF('Test Cases'!$C:$C, B11)</f>
        <v/>
      </c>
      <c r="E11">
        <f>COUNTIFS('Test Cases'!$C:$C, B11, 'Test Cases'!$H:$H, "Auto")</f>
        <v/>
      </c>
      <c r="F11">
        <f>COUNTIFS('Test Cases'!$C:$C, B11, 'Test Cases'!$H:$H, "Manual")</f>
        <v/>
      </c>
      <c r="G11">
        <f>COUNTIFS('Test Cases'!$C:$C, B11, 'Test Cases'!$N:$N, "Pass")</f>
        <v/>
      </c>
      <c r="H11">
        <f>COUNTIFS('Test Cases'!$C:$C, B11, 'Test Cases'!$N:$N, "Fail")</f>
        <v/>
      </c>
      <c r="I11">
        <f>COUNTIFS('Test Cases'!$C:$C, B11, 'Test Cases'!$N:$N, "Not Run")</f>
        <v/>
      </c>
      <c r="J11" s="3">
        <f>IF(D11&gt;0, G11/D11, 0)</f>
        <v/>
      </c>
    </row>
    <row r="12">
      <c r="A12" t="inlineStr">
        <is>
          <t>Stock</t>
        </is>
      </c>
      <c r="B12" t="inlineStr">
        <is>
          <t>F-STK-02</t>
        </is>
      </c>
      <c r="C12" t="inlineStr">
        <is>
          <t>Điều chỉnh tồn kho thủ công (Stock Correction)</t>
        </is>
      </c>
      <c r="D12">
        <f>COUNTIF('Test Cases'!$C:$C, B12)</f>
        <v/>
      </c>
      <c r="E12">
        <f>COUNTIFS('Test Cases'!$C:$C, B12, 'Test Cases'!$H:$H, "Auto")</f>
        <v/>
      </c>
      <c r="F12">
        <f>COUNTIFS('Test Cases'!$C:$C, B12, 'Test Cases'!$H:$H, "Manual")</f>
        <v/>
      </c>
      <c r="G12">
        <f>COUNTIFS('Test Cases'!$C:$C, B12, 'Test Cases'!$N:$N, "Pass")</f>
        <v/>
      </c>
      <c r="H12">
        <f>COUNTIFS('Test Cases'!$C:$C, B12, 'Test Cases'!$N:$N, "Fail")</f>
        <v/>
      </c>
      <c r="I12">
        <f>COUNTIFS('Test Cases'!$C:$C, B12, 'Test Cases'!$N:$N, "Not Run")</f>
        <v/>
      </c>
      <c r="J12" s="3">
        <f>IF(D12&gt;0, G12/D12, 0)</f>
        <v/>
      </c>
    </row>
    <row r="13">
      <c r="A13" t="inlineStr">
        <is>
          <t>Stock</t>
        </is>
      </c>
      <c r="B13" t="inlineStr">
        <is>
          <t>F-STK-03</t>
        </is>
      </c>
      <c r="C13" t="inlineStr">
        <is>
          <t>Cảnh báo tồn kho tối thiểu (Stock Limit &amp; Alert Threshold)</t>
        </is>
      </c>
      <c r="D13">
        <f>COUNTIF('Test Cases'!$C:$C, B13)</f>
        <v/>
      </c>
      <c r="E13">
        <f>COUNTIFS('Test Cases'!$C:$C, B13, 'Test Cases'!$H:$H, "Auto")</f>
        <v/>
      </c>
      <c r="F13">
        <f>COUNTIFS('Test Cases'!$C:$C, B13, 'Test Cases'!$H:$H, "Manual")</f>
        <v/>
      </c>
      <c r="G13">
        <f>COUNTIFS('Test Cases'!$C:$C, B13, 'Test Cases'!$N:$N, "Pass")</f>
        <v/>
      </c>
      <c r="H13">
        <f>COUNTIFS('Test Cases'!$C:$C, B13, 'Test Cases'!$N:$N, "Fail")</f>
        <v/>
      </c>
      <c r="I13">
        <f>COUNTIFS('Test Cases'!$C:$C, B13, 'Test Cases'!$N:$N, "Not Run")</f>
        <v/>
      </c>
      <c r="J13" s="3">
        <f>IF(D13&gt;0, G13/D13, 0)</f>
        <v/>
      </c>
    </row>
    <row r="14">
      <c r="A14" s="4" t="inlineStr">
        <is>
          <t>TỔNG STOCK</t>
        </is>
      </c>
      <c r="B14" s="4" t="inlineStr">
        <is>
          <t>F-STK</t>
        </is>
      </c>
      <c r="C14" s="4" t="inlineStr">
        <is>
          <t>Module Stock (3 chức năng)</t>
        </is>
      </c>
      <c r="D14" s="4">
        <f>SUM(D11:D13)</f>
        <v/>
      </c>
      <c r="E14" s="4">
        <f>SUM(E11:E13)</f>
        <v/>
      </c>
      <c r="F14" s="4">
        <f>SUM(F11:F13)</f>
        <v/>
      </c>
      <c r="G14" s="4">
        <f>SUM(G11:G13)</f>
        <v/>
      </c>
      <c r="H14" s="4">
        <f>SUM(H11:H13)</f>
        <v/>
      </c>
      <c r="I14" s="4">
        <f>SUM(I11:I13)</f>
        <v/>
      </c>
      <c r="J14" s="5">
        <f>IF(D14&gt;0, G14/D14, 0)</f>
        <v/>
      </c>
    </row>
    <row r="15">
      <c r="A15" s="4" t="inlineStr">
        <is>
          <t>TỔNG CỘNG TOÀN DỰ ÁN</t>
        </is>
      </c>
      <c r="B15" s="4" t="inlineStr">
        <is>
          <t>ALL</t>
        </is>
      </c>
      <c r="C15" s="4" t="inlineStr">
        <is>
          <t>Toàn bộ 3 Module (CRM, Sales, Stock)</t>
        </is>
      </c>
      <c r="D15" s="4">
        <f>D6+D10+D14</f>
        <v/>
      </c>
      <c r="E15" s="4">
        <f>E6+E10+E14</f>
        <v/>
      </c>
      <c r="F15" s="4">
        <f>F6+F10+F14</f>
        <v/>
      </c>
      <c r="G15" s="4">
        <f>G6+G10+G14</f>
        <v/>
      </c>
      <c r="H15" s="4">
        <f>H6+H10+H14</f>
        <v/>
      </c>
      <c r="I15" s="4">
        <f>I6+I10+I14</f>
        <v/>
      </c>
      <c r="J15" s="5">
        <f>IF(D15&gt;0, G15/D15, 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5"/>
  <sheetData>
    <row r="1">
      <c r="A1" t="inlineStr">
        <is>
          <t>Use Case ID</t>
        </is>
      </c>
      <c r="B1" t="inlineStr">
        <is>
          <t>Tên Use Case</t>
        </is>
      </c>
      <c r="C1" t="inlineStr">
        <is>
          <t>Function ID</t>
        </is>
      </c>
      <c r="D1" t="inlineStr">
        <is>
          <t>Tên chức năng</t>
        </is>
      </c>
      <c r="E1" t="inlineStr">
        <is>
          <t>Scenario</t>
        </is>
      </c>
      <c r="F1" t="inlineStr">
        <is>
          <t>Test ID</t>
        </is>
      </c>
      <c r="G1" t="inlineStr">
        <is>
          <t>Tiêu đề Test Case</t>
        </is>
      </c>
      <c r="H1" t="inlineStr">
        <is>
          <t>Loại</t>
        </is>
      </c>
      <c r="I1" t="inlineStr">
        <is>
          <t>Trạng thái</t>
        </is>
      </c>
    </row>
    <row r="2">
      <c r="A2" t="inlineStr">
        <is>
          <t>UC-02</t>
        </is>
      </c>
      <c r="B2" t="inlineStr">
        <is>
          <t>Quản lý thông tin Khách hàng (CRM)</t>
        </is>
      </c>
      <c r="C2" t="inlineStr">
        <is>
          <t>F-CRM-01</t>
        </is>
      </c>
      <c r="D2" t="inlineStr">
        <is>
          <t>Tạo khách hàng mới (Third-party creation)</t>
        </is>
      </c>
      <c r="E2" t="inlineStr">
        <is>
          <t>Tao khach hang -- kiem tra bien ten (BVA)</t>
        </is>
      </c>
      <c r="F2" t="inlineStr">
        <is>
          <t>TC_CRM_005</t>
        </is>
      </c>
      <c r="G2" t="inlineStr">
        <is>
          <t>Tao khach hang voi ten dung 128 ky tu (gioi han toi da)</t>
        </is>
      </c>
      <c r="H2" t="inlineStr">
        <is>
          <t>Auto</t>
        </is>
      </c>
      <c r="I2" t="inlineStr">
        <is>
          <t>Pass</t>
        </is>
      </c>
    </row>
    <row r="3">
      <c r="A3" t="inlineStr">
        <is>
          <t>UC-02</t>
        </is>
      </c>
      <c r="B3" t="inlineStr">
        <is>
          <t>Quản lý thông tin Khách hàng (CRM)</t>
        </is>
      </c>
      <c r="C3" t="inlineStr">
        <is>
          <t>F-CRM-01</t>
        </is>
      </c>
      <c r="D3" t="inlineStr">
        <is>
          <t>Tạo khách hàng mới (Third-party creation)</t>
        </is>
      </c>
      <c r="E3" t="inlineStr">
        <is>
          <t>Tao khach hang -- kiem tra bien ten (BVA)</t>
        </is>
      </c>
      <c r="F3" t="inlineStr">
        <is>
          <t>TC_CRM_006</t>
        </is>
      </c>
      <c r="G3" t="inlineStr">
        <is>
          <t>Nhap ten 129 ky tu vao o Ten khach hang (gioi han UI maxlength=128)</t>
        </is>
      </c>
      <c r="H3" t="inlineStr">
        <is>
          <t>Auto</t>
        </is>
      </c>
      <c r="I3" t="inlineStr">
        <is>
          <t>Pass</t>
        </is>
      </c>
    </row>
    <row r="4">
      <c r="A4" t="inlineStr">
        <is>
          <t>UC-02</t>
        </is>
      </c>
      <c r="B4" t="inlineStr">
        <is>
          <t>Quản lý thông tin Khách hàng (CRM)</t>
        </is>
      </c>
      <c r="C4" t="inlineStr">
        <is>
          <t>F-CRM-01</t>
        </is>
      </c>
      <c r="D4" t="inlineStr">
        <is>
          <t>Tạo khách hàng mới (Third-party creation)</t>
        </is>
      </c>
      <c r="E4" t="inlineStr">
        <is>
          <t>Tao khach hang -- kiem tra bien ten (BVA / EP)</t>
        </is>
      </c>
      <c r="F4" t="inlineStr">
        <is>
          <t>TC_CRM_007</t>
        </is>
      </c>
      <c r="G4" t="inlineStr">
        <is>
          <t>Tao khach hang voi ten de trong (khong nhap)</t>
        </is>
      </c>
      <c r="H4" t="inlineStr">
        <is>
          <t>Auto</t>
        </is>
      </c>
      <c r="I4" t="inlineStr">
        <is>
          <t>Pass</t>
        </is>
      </c>
    </row>
    <row r="5">
      <c r="A5" t="inlineStr">
        <is>
          <t>UC-02</t>
        </is>
      </c>
      <c r="B5" t="inlineStr">
        <is>
          <t>Quản lý thông tin Khách hàng (CRM)</t>
        </is>
      </c>
      <c r="C5" t="inlineStr">
        <is>
          <t>F-CRM-01</t>
        </is>
      </c>
      <c r="D5" t="inlineStr">
        <is>
          <t>Tạo khách hàng mới (Third-party creation)</t>
        </is>
      </c>
      <c r="E5" t="inlineStr">
        <is>
          <t>Tao khach hang -- kiem tra bien ten (BVA / EP)</t>
        </is>
      </c>
      <c r="F5" t="inlineStr">
        <is>
          <t>TC_CRM_008</t>
        </is>
      </c>
      <c r="G5" t="inlineStr">
        <is>
          <t>Tao khach hang voi ten dung 1 ky tu</t>
        </is>
      </c>
      <c r="H5" t="inlineStr">
        <is>
          <t>Auto</t>
        </is>
      </c>
      <c r="I5" t="inlineStr">
        <is>
          <t>Pass</t>
        </is>
      </c>
    </row>
    <row r="6">
      <c r="A6" t="inlineStr">
        <is>
          <t>UC-02</t>
        </is>
      </c>
      <c r="B6" t="inlineStr">
        <is>
          <t>Quản lý thông tin Khách hàng (CRM)</t>
        </is>
      </c>
      <c r="C6" t="inlineStr">
        <is>
          <t>F-CRM-01</t>
        </is>
      </c>
      <c r="D6" t="inlineStr">
        <is>
          <t>Tạo khách hàng mới (Third-party creation)</t>
        </is>
      </c>
      <c r="E6" t="inlineStr">
        <is>
          <t>Tao khach hang -- kiem tra bien ten (EP)</t>
        </is>
      </c>
      <c r="F6" t="inlineStr">
        <is>
          <t>TC_CRM_009</t>
        </is>
      </c>
      <c r="G6" t="inlineStr">
        <is>
          <t>Tao khach hang voi ten chi gom khoang trang</t>
        </is>
      </c>
      <c r="H6" t="inlineStr">
        <is>
          <t>Auto</t>
        </is>
      </c>
      <c r="I6" t="inlineStr">
        <is>
          <t>Pass</t>
        </is>
      </c>
    </row>
    <row r="7">
      <c r="A7" t="inlineStr">
        <is>
          <t>UC-02</t>
        </is>
      </c>
      <c r="B7" t="inlineStr">
        <is>
          <t>Quản lý thông tin Khách hàng (CRM)</t>
        </is>
      </c>
      <c r="C7" t="inlineStr">
        <is>
          <t>F-CRM-01</t>
        </is>
      </c>
      <c r="D7" t="inlineStr">
        <is>
          <t>Tạo khách hàng mới (Third-party creation)</t>
        </is>
      </c>
      <c r="E7" t="inlineStr">
        <is>
          <t>Tao khach hang -- ky tu dac biet / an toan du lieu</t>
        </is>
      </c>
      <c r="F7" t="inlineStr">
        <is>
          <t>TC_CRM_010</t>
        </is>
      </c>
      <c r="G7" t="inlineStr">
        <is>
          <t>Tao khach hang voi ten chua ky tu dac biet va the HTML</t>
        </is>
      </c>
      <c r="H7" t="inlineStr">
        <is>
          <t>Auto</t>
        </is>
      </c>
      <c r="I7" t="inlineStr">
        <is>
          <t>Fail</t>
        </is>
      </c>
    </row>
    <row r="8">
      <c r="A8" t="inlineStr">
        <is>
          <t>UC-02</t>
        </is>
      </c>
      <c r="B8" t="inlineStr">
        <is>
          <t>Quản lý thông tin Khách hàng (CRM)</t>
        </is>
      </c>
      <c r="C8" t="inlineStr">
        <is>
          <t>F-CRM-01</t>
        </is>
      </c>
      <c r="D8" t="inlineStr">
        <is>
          <t>Tạo khách hàng mới (Third-party creation)</t>
        </is>
      </c>
      <c r="E8" t="inlineStr">
        <is>
          <t>Tao khach hang -- ky tu Unicode / tieng Viet co dau</t>
        </is>
      </c>
      <c r="F8" t="inlineStr">
        <is>
          <t>TC_CRM_011</t>
        </is>
      </c>
      <c r="G8" t="inlineStr">
        <is>
          <t>Tao khach hang voi ten tieng Viet co dau du 128 ky tu</t>
        </is>
      </c>
      <c r="H8" t="inlineStr">
        <is>
          <t>Auto</t>
        </is>
      </c>
      <c r="I8" t="inlineStr">
        <is>
          <t>Pass</t>
        </is>
      </c>
    </row>
    <row r="9">
      <c r="A9" t="inlineStr">
        <is>
          <t>UC-02</t>
        </is>
      </c>
      <c r="B9" t="inlineStr">
        <is>
          <t>Quản lý thông tin Khách hàng (CRM)</t>
        </is>
      </c>
      <c r="C9" t="inlineStr">
        <is>
          <t>F-CRM-02</t>
        </is>
      </c>
      <c r="D9" t="inlineStr">
        <is>
          <t>Chỉnh sửa thông tin khách hàng (Third-party modification)</t>
        </is>
      </c>
      <c r="E9" t="inlineStr">
        <is>
          <t>Cap nhat thong tin khach hang -- Sua ten</t>
        </is>
      </c>
      <c r="F9" t="inlineStr">
        <is>
          <t>TC_CRM_012</t>
        </is>
      </c>
      <c r="G9" t="inlineStr">
        <is>
          <t>Sua ten khach hang thanh ten moi va luu</t>
        </is>
      </c>
      <c r="H9" t="inlineStr">
        <is>
          <t>Auto</t>
        </is>
      </c>
      <c r="I9" t="inlineStr">
        <is>
          <t>Pass</t>
        </is>
      </c>
    </row>
    <row r="10">
      <c r="A10" t="inlineStr">
        <is>
          <t>UC-02</t>
        </is>
      </c>
      <c r="B10" t="inlineStr">
        <is>
          <t>Quản lý thông tin Khách hàng (CRM)</t>
        </is>
      </c>
      <c r="C10" t="inlineStr">
        <is>
          <t>F-CRM-03</t>
        </is>
      </c>
      <c r="D10" t="inlineStr">
        <is>
          <t>Tìm kiếm khách hàng (Third-party search)</t>
        </is>
      </c>
      <c r="E10" t="inlineStr">
        <is>
          <t>Tim kiem khach hang -- Ten day du</t>
        </is>
      </c>
      <c r="F10" t="inlineStr">
        <is>
          <t>TC_CRM_013</t>
        </is>
      </c>
      <c r="G10" t="inlineStr">
        <is>
          <t>Tim kiem khach hang theo ten chinh xac day du</t>
        </is>
      </c>
      <c r="H10" t="inlineStr">
        <is>
          <t>Auto</t>
        </is>
      </c>
      <c r="I10" t="inlineStr">
        <is>
          <t>Pass</t>
        </is>
      </c>
    </row>
    <row r="11">
      <c r="A11" t="inlineStr">
        <is>
          <t>UC-02</t>
        </is>
      </c>
      <c r="B11" t="inlineStr">
        <is>
          <t>Quản lý thông tin Khách hàng (CRM)</t>
        </is>
      </c>
      <c r="C11" t="inlineStr">
        <is>
          <t>F-CRM-03</t>
        </is>
      </c>
      <c r="D11" t="inlineStr">
        <is>
          <t>Tìm kiếm khách hàng (Third-party search)</t>
        </is>
      </c>
      <c r="E11" t="inlineStr">
        <is>
          <t>Tim kiem khach hang -- Mot phan ten</t>
        </is>
      </c>
      <c r="F11" t="inlineStr">
        <is>
          <t>TC_CRM_014</t>
        </is>
      </c>
      <c r="G11" t="inlineStr">
        <is>
          <t>Tim kiem khach hang theo mot phan chuoi ten (keyword/partial match)</t>
        </is>
      </c>
      <c r="H11" t="inlineStr">
        <is>
          <t>Auto</t>
        </is>
      </c>
      <c r="I11" t="inlineStr">
        <is>
          <t>Pass</t>
        </is>
      </c>
    </row>
    <row r="12">
      <c r="A12" t="inlineStr">
        <is>
          <t>UC-02</t>
        </is>
      </c>
      <c r="B12" t="inlineStr">
        <is>
          <t>Quản lý thông tin Khách hàng (CRM)</t>
        </is>
      </c>
      <c r="C12" t="inlineStr">
        <is>
          <t>F-CRM-03</t>
        </is>
      </c>
      <c r="D12" t="inlineStr">
        <is>
          <t>Tìm kiếm khách hàng (Third-party search)</t>
        </is>
      </c>
      <c r="E12" t="inlineStr">
        <is>
          <t>Tim kiem khach hang -- Ten khong ton tai</t>
        </is>
      </c>
      <c r="F12" t="inlineStr">
        <is>
          <t>TC_CRM_015</t>
        </is>
      </c>
      <c r="G12" t="inlineStr">
        <is>
          <t>Tim kiem khach hang voi ten khong ton tai trong he thong</t>
        </is>
      </c>
      <c r="H12" t="inlineStr">
        <is>
          <t>Auto</t>
        </is>
      </c>
      <c r="I12" t="inlineStr">
        <is>
          <t>Pass</t>
        </is>
      </c>
    </row>
    <row r="13">
      <c r="A13" t="inlineStr">
        <is>
          <t>UC-02</t>
        </is>
      </c>
      <c r="B13" t="inlineStr">
        <is>
          <t>Quản lý thông tin Khách hàng (CRM)</t>
        </is>
      </c>
      <c r="C13" t="inlineStr">
        <is>
          <t>F-CRM-04</t>
        </is>
      </c>
      <c r="D13" t="inlineStr">
        <is>
          <t>Xóa khách hàng (Third-party deletion)</t>
        </is>
      </c>
      <c r="E13" t="inlineStr">
        <is>
          <t>Xoa khach hang -- Luong chuan</t>
        </is>
      </c>
      <c r="F13" t="inlineStr">
        <is>
          <t>TC_CRM_016</t>
        </is>
      </c>
      <c r="G13" t="inlineStr">
        <is>
          <t>Xoa khach hang khoi he thong va xac minh khong con ton tai</t>
        </is>
      </c>
      <c r="H13" t="inlineStr">
        <is>
          <t>Auto</t>
        </is>
      </c>
      <c r="I13" t="inlineStr">
        <is>
          <t>Pass</t>
        </is>
      </c>
    </row>
    <row r="14">
      <c r="A14" t="inlineStr">
        <is>
          <t>UC-01</t>
        </is>
      </c>
      <c r="B14" t="inlineStr">
        <is>
          <t>Luồng chuẩn Báo giá -&gt; Hóa đơn (Sales)</t>
        </is>
      </c>
      <c r="C14" t="inlineStr">
        <is>
          <t>F-SAL-01</t>
        </is>
      </c>
      <c r="D14" t="inlineStr">
        <is>
          <t>Báo giá thương mại (Commercial Proposals)</t>
        </is>
      </c>
      <c r="E14" t="inlineStr">
        <is>
          <t>Tạo báo giá thương mại -- luồng chuẩn</t>
        </is>
      </c>
      <c r="F14" t="inlineStr">
        <is>
          <t>TC_SAL_001</t>
        </is>
      </c>
      <c r="G14" t="inlineStr">
        <is>
          <t>Tạo báo giá nháp mới cho khách hàng doanh nghiệp</t>
        </is>
      </c>
      <c r="H14" t="inlineStr">
        <is>
          <t>Auto</t>
        </is>
      </c>
      <c r="I14" t="inlineStr">
        <is>
          <t>Pass</t>
        </is>
      </c>
    </row>
    <row r="15">
      <c r="A15" t="inlineStr">
        <is>
          <t>UC-01</t>
        </is>
      </c>
      <c r="B15" t="inlineStr">
        <is>
          <t>Luồng chuẩn Báo giá -&gt; Hóa đơn (Sales)</t>
        </is>
      </c>
      <c r="C15" t="inlineStr">
        <is>
          <t>F-SAL-01</t>
        </is>
      </c>
      <c r="D15" t="inlineStr">
        <is>
          <t>Báo giá thương mại (Commercial Proposals)</t>
        </is>
      </c>
      <c r="E15" t="inlineStr">
        <is>
          <t>Thêm sản phẩm và tính toán tiền hàng trong báo giá</t>
        </is>
      </c>
      <c r="F15" t="inlineStr">
        <is>
          <t>TC_SAL_002</t>
        </is>
      </c>
      <c r="G15" t="inlineStr">
        <is>
          <t>Thêm 1 sản phẩm PR001 vào báo giá nháp và kiểm tra tính toán tiền</t>
        </is>
      </c>
      <c r="H15" t="inlineStr">
        <is>
          <t>Auto</t>
        </is>
      </c>
      <c r="I15" t="inlineStr">
        <is>
          <t>Pass</t>
        </is>
      </c>
    </row>
    <row r="16">
      <c r="A16" t="inlineStr">
        <is>
          <t>UC-01</t>
        </is>
      </c>
      <c r="B16" t="inlineStr">
        <is>
          <t>Luồng chuẩn Báo giá -&gt; Hóa đơn (Sales)</t>
        </is>
      </c>
      <c r="C16" t="inlineStr">
        <is>
          <t>F-SAL-01</t>
        </is>
      </c>
      <c r="D16" t="inlineStr">
        <is>
          <t>Báo giá thương mại (Commercial Proposals)</t>
        </is>
      </c>
      <c r="E16" t="inlineStr">
        <is>
          <t>Thêm nhiều sản phẩm vào báo giá -- tính lũy kế</t>
        </is>
      </c>
      <c r="F16" t="inlineStr">
        <is>
          <t>TC_SAL_003</t>
        </is>
      </c>
      <c r="G16" t="inlineStr">
        <is>
          <t>Thêm sản phẩm thứ 2 PR002 vào báo giá và kiểm tra cộng dồn tổng tiền</t>
        </is>
      </c>
      <c r="H16" t="inlineStr">
        <is>
          <t>Auto</t>
        </is>
      </c>
      <c r="I16" t="inlineStr">
        <is>
          <t>Pass</t>
        </is>
      </c>
    </row>
    <row r="17">
      <c r="A17" t="inlineStr">
        <is>
          <t>UC-01</t>
        </is>
      </c>
      <c r="B17" t="inlineStr">
        <is>
          <t>Luồng chuẩn Báo giá -&gt; Hóa đơn (Sales)</t>
        </is>
      </c>
      <c r="C17" t="inlineStr">
        <is>
          <t>F-SAL-01</t>
        </is>
      </c>
      <c r="D17" t="inlineStr">
        <is>
          <t>Báo giá thương mại (Commercial Proposals)</t>
        </is>
      </c>
      <c r="E17" t="inlineStr">
        <is>
          <t>Duyệt báo giá thương mại</t>
        </is>
      </c>
      <c r="F17" t="inlineStr">
        <is>
          <t>TC_SAL_004</t>
        </is>
      </c>
      <c r="G17" t="inlineStr">
        <is>
          <t>Xác thực báo giá nháp chuyển sang trạng thái Validated (Open)</t>
        </is>
      </c>
      <c r="H17" t="inlineStr">
        <is>
          <t>Auto</t>
        </is>
      </c>
      <c r="I17" t="inlineStr">
        <is>
          <t>Pass</t>
        </is>
      </c>
    </row>
    <row r="18">
      <c r="A18" t="inlineStr">
        <is>
          <t>UC-01</t>
        </is>
      </c>
      <c r="B18" t="inlineStr">
        <is>
          <t>Luồng chuẩn Báo giá -&gt; Hóa đơn (Sales)</t>
        </is>
      </c>
      <c r="C18" t="inlineStr">
        <is>
          <t>F-SAL-01</t>
        </is>
      </c>
      <c r="D18" t="inlineStr">
        <is>
          <t>Báo giá thương mại (Commercial Proposals)</t>
        </is>
      </c>
      <c r="E18" t="inlineStr">
        <is>
          <t>Ký duyệt báo giá thương mại</t>
        </is>
      </c>
      <c r="F18" t="inlineStr">
        <is>
          <t>TC_SAL_005</t>
        </is>
      </c>
      <c r="G18" t="inlineStr">
        <is>
          <t>Đóng báo giá với trạng thái Chấp thuận/Đã ký (Signed)</t>
        </is>
      </c>
      <c r="H18" t="inlineStr">
        <is>
          <t>Auto</t>
        </is>
      </c>
      <c r="I18" t="inlineStr">
        <is>
          <t>Pass</t>
        </is>
      </c>
    </row>
    <row r="19">
      <c r="A19" t="inlineStr">
        <is>
          <t>UC-01</t>
        </is>
      </c>
      <c r="B19" t="inlineStr">
        <is>
          <t>Luồng chuẩn Báo giá -&gt; Hóa đơn (Sales)</t>
        </is>
      </c>
      <c r="C19" t="inlineStr">
        <is>
          <t>F-SAL-02</t>
        </is>
      </c>
      <c r="D19" t="inlineStr">
        <is>
          <t>Hóa đơn bán hàng chuẩn (Proposal to Invoice)</t>
        </is>
      </c>
      <c r="E19" t="inlineStr">
        <is>
          <t>Chuyển báo giá thành hóa đơn bán hàng</t>
        </is>
      </c>
      <c r="F19" t="inlineStr">
        <is>
          <t>TC_SAL_006</t>
        </is>
      </c>
      <c r="G19" t="inlineStr">
        <is>
          <t>Tạo hóa đơn bán hàng trực tiếp từ báo giá đã ký</t>
        </is>
      </c>
      <c r="H19" t="inlineStr">
        <is>
          <t>Auto</t>
        </is>
      </c>
      <c r="I19" t="inlineStr">
        <is>
          <t>Pass</t>
        </is>
      </c>
    </row>
    <row r="20">
      <c r="A20" t="inlineStr">
        <is>
          <t>UC-01</t>
        </is>
      </c>
      <c r="B20" t="inlineStr">
        <is>
          <t>Luồng chuẩn Báo giá -&gt; Hóa đơn (Sales)</t>
        </is>
      </c>
      <c r="C20" t="inlineStr">
        <is>
          <t>F-SAL-02</t>
        </is>
      </c>
      <c r="D20" t="inlineStr">
        <is>
          <t>Hóa đơn bán hàng chuẩn (Proposal to Invoice)</t>
        </is>
      </c>
      <c r="E20" t="inlineStr">
        <is>
          <t>Xác thực hóa đơn bán hàng</t>
        </is>
      </c>
      <c r="F20" t="inlineStr">
        <is>
          <t>TC_SAL_007</t>
        </is>
      </c>
      <c r="G20" t="inlineStr">
        <is>
          <t>Xác thực hóa đơn chuyển sang trạng thái Unpaid và cấp mã chính thức</t>
        </is>
      </c>
      <c r="H20" t="inlineStr">
        <is>
          <t>Auto</t>
        </is>
      </c>
      <c r="I20" t="inlineStr">
        <is>
          <t>Pass</t>
        </is>
      </c>
    </row>
    <row r="21">
      <c r="A21" t="inlineStr">
        <is>
          <t>UC-03</t>
        </is>
      </c>
      <c r="B21" t="inlineStr">
        <is>
          <t>Quản lý Kho &amp; Tồn kho (Stock)</t>
        </is>
      </c>
      <c r="C21" t="inlineStr">
        <is>
          <t>F-STK-01</t>
        </is>
      </c>
      <c r="D21" t="inlineStr">
        <is>
          <t>Trừ kho tự động theo hóa đơn (Integration)</t>
        </is>
      </c>
      <c r="E21" t="inlineStr">
        <is>
          <t>Kiểm tra quy tắc trừ kho tự động khi xác thực hóa đơn</t>
        </is>
      </c>
      <c r="F21" t="inlineStr">
        <is>
          <t>TC_SAL_008</t>
        </is>
      </c>
      <c r="G21" t="inlineStr">
        <is>
          <t>Xác minh tồn kho thực tế của PR001 và PR002 giảm đúng số lượng bán</t>
        </is>
      </c>
      <c r="H21" t="inlineStr">
        <is>
          <t>Auto</t>
        </is>
      </c>
      <c r="I21" t="inlineStr">
        <is>
          <t>Pass</t>
        </is>
      </c>
    </row>
    <row r="22">
      <c r="A22" t="inlineStr">
        <is>
          <t>UC-01</t>
        </is>
      </c>
      <c r="B22" t="inlineStr">
        <is>
          <t>Luồng chuẩn Báo giá -&gt; Hóa đơn (Sales)</t>
        </is>
      </c>
      <c r="C22" t="inlineStr">
        <is>
          <t>F-SAL-03</t>
        </is>
      </c>
      <c r="D22" t="inlineStr">
        <is>
          <t>Hóa đơn đặc biệt (Hủy, Credit note, Thanh toán một phần)</t>
        </is>
      </c>
      <c r="E22" t="inlineStr">
        <is>
          <t>Xử lý hóa đơn đặc biệt -- Hủy hóa đơn (Abandon/Cancel)</t>
        </is>
      </c>
      <c r="F22" t="inlineStr">
        <is>
          <t>TC_SAL_009</t>
        </is>
      </c>
      <c r="G22" t="inlineStr">
        <is>
          <t>Hủy hóa đơn khách hàng ở trạng thái Chưa thanh toán (Unpaid)</t>
        </is>
      </c>
      <c r="H22" t="inlineStr">
        <is>
          <t>Manual</t>
        </is>
      </c>
      <c r="I22" t="inlineStr">
        <is>
          <t>Not Run</t>
        </is>
      </c>
    </row>
    <row r="23">
      <c r="A23" t="inlineStr">
        <is>
          <t>UC-01</t>
        </is>
      </c>
      <c r="B23" t="inlineStr">
        <is>
          <t>Luồng chuẩn Báo giá -&gt; Hóa đơn (Sales)</t>
        </is>
      </c>
      <c r="C23" t="inlineStr">
        <is>
          <t>F-SAL-03</t>
        </is>
      </c>
      <c r="D23" t="inlineStr">
        <is>
          <t>Hóa đơn đặc biệt (Hủy, Credit note, Thanh toán một phần)</t>
        </is>
      </c>
      <c r="E23" t="inlineStr">
        <is>
          <t>Xử lý hóa đơn đặc biệt -- Hóa đơn hoàn tiền / điều chỉnh (Credit note)</t>
        </is>
      </c>
      <c r="F23" t="inlineStr">
        <is>
          <t>TC_SAL_010</t>
        </is>
      </c>
      <c r="G23" t="inlineStr">
        <is>
          <t>Tạo hóa đơn hoàn tiền (Credit note / Avoir) từ hóa đơn gốc đã xác thực</t>
        </is>
      </c>
      <c r="H23" t="inlineStr">
        <is>
          <t>Manual</t>
        </is>
      </c>
      <c r="I23" t="inlineStr">
        <is>
          <t>Not Run</t>
        </is>
      </c>
    </row>
    <row r="24">
      <c r="A24" t="inlineStr">
        <is>
          <t>UC-01</t>
        </is>
      </c>
      <c r="B24" t="inlineStr">
        <is>
          <t>Luồng chuẩn Báo giá -&gt; Hóa đơn (Sales)</t>
        </is>
      </c>
      <c r="C24" t="inlineStr">
        <is>
          <t>F-SAL-03</t>
        </is>
      </c>
      <c r="D24" t="inlineStr">
        <is>
          <t>Hóa đơn đặc biệt (Hủy, Credit note, Thanh toán một phần)</t>
        </is>
      </c>
      <c r="E24" t="inlineStr">
        <is>
          <t>Xử lý hóa đơn đặc biệt -- Thanh toán từng phần (Partial Payment)</t>
        </is>
      </c>
      <c r="F24" t="inlineStr">
        <is>
          <t>TC_SAL_011</t>
        </is>
      </c>
      <c r="G24" t="inlineStr">
        <is>
          <t>Ghi nhận thanh toán đợt 1 (một phần số tiền) cho hóa đơn chưa thanh toán</t>
        </is>
      </c>
      <c r="H24" t="inlineStr">
        <is>
          <t>Manual</t>
        </is>
      </c>
      <c r="I24" t="inlineStr">
        <is>
          <t>Not Run</t>
        </is>
      </c>
    </row>
    <row r="25">
      <c r="A25" t="inlineStr">
        <is>
          <t>UC-01</t>
        </is>
      </c>
      <c r="B25" t="inlineStr">
        <is>
          <t>Luồng chuẩn Báo giá -&gt; Hóa đơn (Sales)</t>
        </is>
      </c>
      <c r="C25" t="inlineStr">
        <is>
          <t>F-SAL-03</t>
        </is>
      </c>
      <c r="D25" t="inlineStr">
        <is>
          <t>Hóa đơn đặc biệt (Hủy, Credit note, Thanh toán một phần)</t>
        </is>
      </c>
      <c r="E25" t="inlineStr">
        <is>
          <t>Xử lý hóa đơn đặc biệt -- Thanh toán hoàn tất (Full Payment &amp; Close)</t>
        </is>
      </c>
      <c r="F25" t="inlineStr">
        <is>
          <t>TC_SAL_012</t>
        </is>
      </c>
      <c r="G25" t="inlineStr">
        <is>
          <t>Ghi nhận thanh toán đợt 2 đủ số tiền còn lại và đóng hóa đơn thành Paid</t>
        </is>
      </c>
      <c r="H25" t="inlineStr">
        <is>
          <t>Manual</t>
        </is>
      </c>
      <c r="I25" t="inlineStr">
        <is>
          <t>Not Run</t>
        </is>
      </c>
    </row>
    <row r="26">
      <c r="A26" t="inlineStr">
        <is>
          <t>UC-03</t>
        </is>
      </c>
      <c r="B26" t="inlineStr">
        <is>
          <t>Quản lý Kho &amp; Tồn kho (Stock)</t>
        </is>
      </c>
      <c r="C26" t="inlineStr">
        <is>
          <t>F-STK-02</t>
        </is>
      </c>
      <c r="D26" t="inlineStr">
        <is>
          <t>Điều chỉnh tồn kho thủ công (Stock Correction)</t>
        </is>
      </c>
      <c r="E26" t="inlineStr">
        <is>
          <t>Điều chỉnh tồn kho thủ công (Stock Correction)</t>
        </is>
      </c>
      <c r="F26" t="inlineStr">
        <is>
          <t>TC_STK_001</t>
        </is>
      </c>
      <c r="G26" t="inlineStr">
        <is>
          <t>Điều chỉnh tăng tồn kho thủ công (Stock Increase Correction) cho sản phẩm PR002</t>
        </is>
      </c>
      <c r="H26" t="inlineStr">
        <is>
          <t>Manual</t>
        </is>
      </c>
      <c r="I26" t="inlineStr">
        <is>
          <t>Not Run</t>
        </is>
      </c>
    </row>
    <row r="27">
      <c r="A27" t="inlineStr">
        <is>
          <t>UC-03</t>
        </is>
      </c>
      <c r="B27" t="inlineStr">
        <is>
          <t>Quản lý Kho &amp; Tồn kho (Stock)</t>
        </is>
      </c>
      <c r="C27" t="inlineStr">
        <is>
          <t>F-STK-02</t>
        </is>
      </c>
      <c r="D27" t="inlineStr">
        <is>
          <t>Điều chỉnh tồn kho thủ công (Stock Correction)</t>
        </is>
      </c>
      <c r="E27" t="inlineStr">
        <is>
          <t>Điều chỉnh tồn kho thủ công (Stock Correction)</t>
        </is>
      </c>
      <c r="F27" t="inlineStr">
        <is>
          <t>TC_STK_002</t>
        </is>
      </c>
      <c r="G27" t="inlineStr">
        <is>
          <t>Điều chỉnh giảm tồn kho thủ công (Stock Decrease Correction) do hàng hỏng</t>
        </is>
      </c>
      <c r="H27" t="inlineStr">
        <is>
          <t>Manual</t>
        </is>
      </c>
      <c r="I27" t="inlineStr">
        <is>
          <t>Not Run</t>
        </is>
      </c>
    </row>
    <row r="28">
      <c r="A28" t="inlineStr">
        <is>
          <t>UC-03</t>
        </is>
      </c>
      <c r="B28" t="inlineStr">
        <is>
          <t>Quản lý Kho &amp; Tồn kho (Stock)</t>
        </is>
      </c>
      <c r="C28" t="inlineStr">
        <is>
          <t>F-STK-02</t>
        </is>
      </c>
      <c r="D28" t="inlineStr">
        <is>
          <t>Điều chỉnh tồn kho thủ công (Stock Correction)</t>
        </is>
      </c>
      <c r="E28" t="inlineStr">
        <is>
          <t>Điều chỉnh tồn kho thủ công -- Xuất quá số lượng tồn (Negative Stock)</t>
        </is>
      </c>
      <c r="F28" t="inlineStr">
        <is>
          <t>TC_STK_003</t>
        </is>
      </c>
      <c r="G28" t="inlineStr">
        <is>
          <t>Khảo sát hành vi khi điều chỉnh giảm số lượng tồn kho vượt quá số lượng tồn hiện có</t>
        </is>
      </c>
      <c r="H28" t="inlineStr">
        <is>
          <t>Manual</t>
        </is>
      </c>
      <c r="I28" t="inlineStr">
        <is>
          <t>Not Run</t>
        </is>
      </c>
    </row>
    <row r="29">
      <c r="A29" t="inlineStr">
        <is>
          <t>UC-03</t>
        </is>
      </c>
      <c r="B29" t="inlineStr">
        <is>
          <t>Quản lý Kho &amp; Tồn kho (Stock)</t>
        </is>
      </c>
      <c r="C29" t="inlineStr">
        <is>
          <t>F-STK-03</t>
        </is>
      </c>
      <c r="D29" t="inlineStr">
        <is>
          <t>Cảnh báo tồn kho tối thiểu (Stock Limit &amp; Alert Threshold)</t>
        </is>
      </c>
      <c r="E29" t="inlineStr">
        <is>
          <t>Cảnh báo tồn kho tối thiểu (Stock Limit &amp; Alert Threshold)</t>
        </is>
      </c>
      <c r="F29" t="inlineStr">
        <is>
          <t>TC_STK_004</t>
        </is>
      </c>
      <c r="G29" t="inlineStr">
        <is>
          <t>Kiểm tra hiển thị cảnh báo khi tồn kho giảm xuống dưới ngưỡng tồn kho tối thiểu (Stock limit)</t>
        </is>
      </c>
      <c r="H29" t="inlineStr">
        <is>
          <t>Manual</t>
        </is>
      </c>
      <c r="I29" t="inlineStr">
        <is>
          <t>Not Run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DolibarrTests</dc:creator>
  <dc:description xmlns:dc="http://purl.org/dc/elements/1.1/">This workbook has been created with EPPlus licensed to DolibarrTests under The Polyform Noncommercial License: See https://polyformproject.org/licenses/noncommercial/1.0.0</dc:description>
  <dcterms:created xmlns:dcterms="http://purl.org/dc/terms/" xmlns:xsi="http://www.w3.org/2001/XMLSchema-instance" xsi:type="dcterms:W3CDTF">2026-09-24T10:29:59Z</dcterms:created>
  <dcterms:modified xmlns:dcterms="http://purl.org/dc/terms/" xmlns:xsi="http://www.w3.org/2001/XMLSchema-instance" xsi:type="dcterms:W3CDTF">2026-10-06T06:15:02Z</dcterms:modified>
  <cp:lastModifiedBy>2273201081640 - NGÔ NGỌC THỦY - 71K28QHCC24</cp:lastModifiedBy>
  <cp:keywords>EPPlus noncommercial use</cp:keywords>
</cp:coreProperties>
</file>