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2706A4FC-15FC-4240-B62D-3371C22A3FBB}" xr6:coauthVersionLast="47" xr6:coauthVersionMax="47" xr10:uidLastSave="{00000000-0000-0000-0000-000000000000}"/>
  <bookViews>
    <workbookView xWindow="-110" yWindow="-110" windowWidth="19420" windowHeight="10420" tabRatio="50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iterateDelta="1E-4"/>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J9" i="5" s="1"/>
  <c r="F9" i="5"/>
  <c r="E9" i="5"/>
  <c r="D9" i="5"/>
  <c r="I8" i="5"/>
  <c r="H8" i="5"/>
  <c r="G8" i="5"/>
  <c r="F8" i="5"/>
  <c r="E8" i="5"/>
  <c r="D8" i="5"/>
  <c r="I7" i="5"/>
  <c r="I10" i="5" s="1"/>
  <c r="H7" i="5"/>
  <c r="H10" i="5" s="1"/>
  <c r="G7" i="5"/>
  <c r="G10" i="5" s="1"/>
  <c r="F7" i="5"/>
  <c r="F10" i="5" s="1"/>
  <c r="E7" i="5"/>
  <c r="E10" i="5" s="1"/>
  <c r="D7" i="5"/>
  <c r="I5" i="5"/>
  <c r="H5" i="5"/>
  <c r="G5" i="5"/>
  <c r="F5" i="5"/>
  <c r="E5" i="5"/>
  <c r="D5" i="5"/>
  <c r="J5" i="5" s="1"/>
  <c r="I4" i="5"/>
  <c r="H4" i="5"/>
  <c r="G4" i="5"/>
  <c r="F4" i="5"/>
  <c r="E4" i="5"/>
  <c r="D4" i="5"/>
  <c r="J4" i="5" s="1"/>
  <c r="I3" i="5"/>
  <c r="H3" i="5"/>
  <c r="G3" i="5"/>
  <c r="F3" i="5"/>
  <c r="E3" i="5"/>
  <c r="D3" i="5"/>
  <c r="J3" i="5" s="1"/>
  <c r="I2" i="5"/>
  <c r="I6" i="5" s="1"/>
  <c r="I15" i="5" s="1"/>
  <c r="H2" i="5"/>
  <c r="H6" i="5" s="1"/>
  <c r="G2" i="5"/>
  <c r="F2" i="5"/>
  <c r="E2" i="5"/>
  <c r="E6" i="5" s="1"/>
  <c r="E15" i="5" s="1"/>
  <c r="D2" i="5"/>
  <c r="D6" i="5" s="1"/>
  <c r="J7" i="5" l="1"/>
  <c r="J12" i="5"/>
  <c r="F6" i="5"/>
  <c r="J2" i="5"/>
  <c r="J8" i="5"/>
  <c r="J11" i="5"/>
  <c r="J13" i="5"/>
  <c r="F15" i="5"/>
  <c r="J6" i="5"/>
  <c r="H15" i="5"/>
  <c r="G6" i="5"/>
  <c r="G15" i="5" s="1"/>
  <c r="D10" i="5"/>
  <c r="J10" i="5" s="1"/>
  <c r="D14" i="5"/>
  <c r="J14" i="5" s="1"/>
  <c r="D15" i="5" l="1"/>
  <c r="J15" i="5" s="1"/>
</calcChain>
</file>

<file path=xl/sharedStrings.xml><?xml version="1.0" encoding="utf-8"?>
<sst xmlns="http://schemas.openxmlformats.org/spreadsheetml/2006/main" count="3345" uniqueCount="1253">
  <si>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</si>
  <si>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</si>
  <si>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</si>
  <si>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</si>
  <si>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</si>
  <si>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</si>
  <si>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</si>
  <si>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</si>
  <si>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</si>
  <si>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</si>
  <si>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</si>
  <si>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</si>
  <si>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</si>
  <si>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</si>
  <si>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</si>
  <si>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</si>
  <si>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</si>
  <si>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</si>
  <si>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</si>
  <si>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</si>
  <si>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</si>
  <si>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</si>
  <si>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</si>
  <si>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</si>
  <si>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</si>
  <si>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</si>
  <si>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</si>
  <si>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</si>
  <si>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</si>
  <si>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</si>
  <si>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</si>
  <si>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</si>
  <si>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</si>
  <si>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</si>
  <si>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</si>
  <si>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</si>
  <si>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</si>
  <si>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</si>
  <si>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</si>
  <si>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</si>
  <si>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</si>
  <si>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</si>
  <si>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</si>
  <si>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</si>
  <si>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</si>
  <si>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</si>
  <si>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</si>
  <si>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</si>
  <si>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</si>
  <si>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</si>
  <si>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</si>
  <si>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</si>
  <si>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</si>
  <si>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</si>
  <si>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</si>
  <si>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</si>
  <si>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</si>
  <si>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</si>
  <si>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</si>
  <si>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</si>
  <si>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</si>
  <si>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</si>
  <si>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</si>
  <si>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</si>
  <si>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</si>
  <si>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</si>
  <si>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</si>
  <si>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</si>
  <si>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</si>
  <si>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</si>
  <si>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</si>
  <si>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</si>
  <si>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</si>
  <si>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</si>
  <si>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</si>
  <si>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</si>
  <si>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</si>
  <si>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</si>
  <si>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</si>
  <si>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</si>
  <si>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</si>
  <si>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</si>
  <si>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</si>
  <si>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</si>
  <si>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</si>
  <si>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</si>
  <si>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</si>
  <si>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</si>
  <si>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</si>
  <si>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</si>
  <si>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</si>
  <si>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</si>
  <si>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</si>
  <si>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</si>
  <si>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</si>
  <si>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</si>
  <si>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</si>
  <si>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</si>
  <si>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</si>
  <si>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</si>
  <si>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</si>
  <si>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</si>
  <si>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</si>
  <si>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</si>
  <si>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</si>
  <si>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</si>
  <si>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</si>
  <si>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</si>
  <si>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</si>
  <si>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</si>
  <si>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</si>
  <si>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</si>
  <si>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</si>
  <si>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</si>
  <si>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</si>
  <si>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</si>
  <si>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</si>
  <si>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</si>
  <si>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</si>
  <si>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</si>
  <si>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</si>
  <si>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</si>
  <si>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</si>
  <si>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</si>
  <si>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</si>
  <si>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</si>
  <si>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</si>
  <si>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</si>
  <si>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</si>
  <si>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</si>
  <si>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</si>
  <si>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</si>
  <si>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</si>
  <si>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</si>
  <si>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</si>
  <si>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</si>
  <si>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</si>
  <si>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</si>
  <si>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</si>
  <si>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</si>
  <si>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</si>
  <si>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</si>
  <si>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</si>
  <si>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</si>
  <si>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</si>
  <si>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</si>
  <si>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</si>
  <si>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</si>
  <si>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</si>
  <si>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</si>
  <si>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</si>
  <si>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</si>
  <si>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</si>
  <si>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</si>
  <si>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</si>
  <si>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</si>
  <si>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</si>
  <si>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</si>
  <si>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</si>
  <si>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</si>
  <si>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</si>
  <si>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</si>
  <si>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</si>
  <si>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</si>
  <si>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</si>
  <si>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</si>
  <si>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</si>
  <si>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</si>
  <si>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</si>
  <si>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</si>
  <si>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</si>
  <si>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</si>
  <si>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</si>
  <si>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</si>
  <si>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</si>
  <si>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</si>
  <si>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</si>
  <si>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</si>
  <si>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</si>
  <si>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</si>
  <si>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</si>
  <si>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</si>
  <si>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</si>
  <si>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</si>
  <si>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</si>
  <si>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</si>
  <si>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</si>
  <si>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</si>
  <si>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</si>
  <si>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</si>
  <si>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</si>
  <si>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</si>
  <si>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</si>
  <si>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</si>
  <si>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</si>
  <si>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</si>
  <si>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</si>
  <si>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</si>
  <si>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</si>
  <si>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</si>
  <si>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</si>
  <si>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</si>
  <si>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</si>
  <si>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</si>
  <si>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</si>
  <si>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</si>
  <si>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</si>
  <si>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</si>
  <si>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</si>
  <si>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</si>
  <si>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</si>
  <si>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</si>
  <si>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</si>
  <si>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</si>
  <si>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</si>
  <si>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</si>
  <si>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</si>
  <si>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</si>
  <si>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</si>
  <si>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</si>
  <si>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</si>
  <si>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</si>
  <si>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</si>
  <si>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</si>
  <si>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</si>
  <si>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</si>
  <si>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State Transition (ST)</t>
  </si>
  <si>
    <t>Manual</t>
  </si>
  <si>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</si>
  <si>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</si>
  <si>
    <t>InvoiceStatus='Not paid', Action='Cancel/Abandon', Reason='Khach hang doi y huy don'</t>
  </si>
  <si>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</si>
  <si>
    <t>Not Run</t>
  </si>
  <si>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</si>
  <si>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</si>
  <si>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</si>
  <si>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</si>
  <si>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</si>
  <si>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</si>
  <si>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State Transition (ST) / EP</t>
  </si>
  <si>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</si>
  <si>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</si>
  <si>
    <t>OriginalInvoice='IN...', Product='PR001', Qty=1, UnitPriceHT=100.00 €, VAT=10%</t>
  </si>
  <si>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</si>
  <si>
    <t>Kịch bản chuẩn hóa BVA/EP số học, chờ người dùng tự tay thực hiện kiểm thử thủ công và ghi nhận kết quả. Đã bổ sung Bước 0 (tạo hóa đơn gốc) sau review ngày 08/10/2026.</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</si>
  <si>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</si>
  <si>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</si>
  <si>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</si>
  <si>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</si>
  <si>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Equivalence Partitioning (EP)</t>
  </si>
  <si>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</si>
  <si>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</si>
  <si>
    <t>TotalAmount=220.00 €, PaidAmount_1=100.00 €, PaymentMode='Cash'</t>
  </si>
  <si>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</si>
  <si>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</si>
  <si>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</si>
  <si>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</si>
  <si>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</si>
  <si>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</si>
  <si>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State Transition (ST) / BVA</t>
  </si>
  <si>
    <t>Hóa đơn đang ở trạng thái "Started" (Partially paid) với số nợ còn lại chính xác là 120.00 € (kế thừa trực tiếp sau khi hoàn thành TC_SAL_011 trên cùng hóa đơn — không tạo hóa đơn mới).</t>
  </si>
  <si>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</si>
  <si>
    <t>RemainingAmount=120.00 €, PaidAmount_2=120.00 €, PaymentMode='Cash'</t>
  </si>
  <si>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</si>
  <si>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</si>
  <si>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</si>
  <si>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</si>
  <si>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</si>
  <si>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</si>
  <si>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</si>
  <si>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Người dùng đã đăng nhập với quyền quản lý kho; Sản phẩm PR002 đang có tồn kho thực tế ban đầu tại kho KHO001 là 30 đơn vị (theo đúng mốc sạch baseline).</t>
  </si>
  <si>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</si>
  <si>
    <t>Product='PR002', Warehouse='KHO001', InitialStock=30, AddedQty=10, Reason='Kiem ke dinh ky phat hien thua'</t>
  </si>
  <si>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</si>
  <si>
    <t>Kịch bản chuẩn hóa BVA/EP số học, chờ người dùng tự tay thực hiện kiểm thử thủ công và ghi nhận kết quả.</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</si>
  <si>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</si>
  <si>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</si>
  <si>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</si>
  <si>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kho khả dụng tại kho KHO001 là 40 đơn vị (tiếp nối sau TC_STK_001) hoặc 30 đơn vị (nếu chạy độc lập trên baseline).</t>
  </si>
  <si>
    <t>1. Mở tab "Stock" của sản phẩm PR002.
2. Nhấn nút "Correct stock".
3. Chọn kho điều chỉnh: KHO001.
4. Chọn thao tác "Remove" (Giảm kho) và nhập số lượng điều chỉnh: 5 đơn vị.
5. Nhập lý do kiểm kê: "Hang hu hong bao bi can huy".
6. Nhấn "Save".</t>
  </si>
  <si>
    <t>Product='PR002', Warehouse='KHO001', CurrentStock=40, DecreasedQty=5, Reason='Hang hu hong bao bi can huy'</t>
  </si>
  <si>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</si>
  <si>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</si>
  <si>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</si>
  <si>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</si>
  <si>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</si>
  <si>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Boundary Value Analysis (BVA)</t>
  </si>
  <si>
    <t>Sản phẩm PR004 có tồn kho thực tế hiện tại tại kho KHO001 chính xác là 89 đơn vị (theo mốc sạch baseline).</t>
  </si>
  <si>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</si>
  <si>
    <t>Product='PR004', Warehouse='KHO001', CurrentStock=89, DecreaseQty=100 (vượt biên 11 đơn vị)</t>
  </si>
  <si>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</si>
  <si>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</si>
  <si>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</si>
  <si>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</si>
  <si>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</si>
  <si>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</si>
  <si>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tồn kho ban đầu tại kho KHO001 là 40 đơn vị (mốc sạch baseline). Thiết lập cấu hình ngưỡng tồn kho tối thiểu (Stock limit for alert) = 10 đơn vị, tồn kho mong muốn (Desired stock) = 50 đơn vị.</t>
  </si>
  <si>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</si>
  <si>
    <t>Product='PR003', InitialStock=40, StockLimit=10, DesiredStock=50, DecreaseQty=32, ResultStock=8</t>
  </si>
  <si>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</si>
  <si>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</si>
  <si>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TC_SAL_013</t>
  </si>
  <si>
    <t>Báo giá có chiết khấu dòng (% Discount)</t>
  </si>
  <si>
    <t>Thêm sản phẩm PR001 (SL=2) với chiết khấu 10%, kiểm tra tính toán Total HT, VAT và Total TTC sau chiết khấu</t>
  </si>
  <si>
    <t>BVA / Calculation</t>
  </si>
  <si>
    <t>Báo giá nháp (Draft) vừa tạo mới đang mở; sản phẩm PR001 đã có giá niêm yết 100€, VAT 10%</t>
  </si>
  <si>
    <t>1. Tại form thêm sản phẩm, chọn PR001
2. Nhập số lượng: 2 cái
3. Nhập chiết khấu % (Discount): 10%
4. Nhấn Add
5. Kiểm tra bảng tổng tiền</t>
  </si>
  <si>
    <t>Product='PR001', Qty=2, Discount=10%, VAT=10%</t>
  </si>
  <si>
    <t>Dòng sản phẩm được thêm với chiết khấu 10%; Total HT = (100 x 2) x 0.9 = 180.00 €; VAT = 180 x 10% = 18.00 €; Total TTC = 180 + 18 = 198.00 €</t>
  </si>
  <si>
    <t>Thêm sản phẩm PR001 (SL=2, giảm 10%) thành công. Tự động tính đúng: Total HT = 180.00 €, VAT = 18.00 €, Total TTC = 198.00 €.</t>
  </si>
  <si>
    <t>2026-10-08</t>
  </si>
  <si>
    <t>evidence/automation/sales/TC_SAL_013_AddProductWithDiscount_ShouldCalculateCorrectTotal_2026-10-08_00-04-24.png</t>
  </si>
  <si>
    <t>Chạy trên mốc sạch dolibarr_clean, ngày 2026-10-08, tuần tự (DoNotParallelize)</t>
  </si>
  <si>
    <t>TC_SAL_014</t>
  </si>
  <si>
    <t>Đóng báo giá trạng thái Từ chối (Refused Proposal)</t>
  </si>
  <si>
    <t>Đóng báo giá trạng thái Refused, kiểm tra trạng thái cập nhật và không cho phép tạo hóa đơn</t>
  </si>
  <si>
    <t>1. Nhấn nút Close (Đóng)
2. Chọn trạng thái: Refused (Từ chối / Not signed)
3. Nhấn Save/Confirm
4. Kiểm tra trạng thái và sự hiện diện của nút Create invoice</t>
  </si>
  <si>
    <t>Status='Refused'</t>
  </si>
  <si>
    <t>Trạng thái báo giá chuyển thành Refused/Closed; KHÔNG hiển thị nút Create invoice (ngăn chặn lập hóa đơn từ báo giá bị từ chối)</t>
  </si>
  <si>
    <t>Đóng báo giá trạng thái Refused thành công. Trạng thái hiển thị 'Refused (Closed)'; không có nút Create invoice.</t>
  </si>
  <si>
    <t>evidence/automation/sales/TC_SAL_014_CloseProposalAsRefused_ShouldNotAllowInvoiceCreation_2026-10-08_00-05-00.png</t>
  </si>
  <si>
    <t>TC_SAL_015</t>
  </si>
  <si>
    <t>Ghi nhận Thanh toán toàn bộ hóa đơn (Full Payment 100%)</t>
  </si>
  <si>
    <t>Thanh toán 100% hóa đơn bán hàng, kiểm tra trạng thái chuyển sang Paid và số tiền còn lại bằng 0</t>
  </si>
  <si>
    <t>State Transition / Calculation</t>
  </si>
  <si>
    <t>Hóa đơn bán hàng đang ở trạng thái Unpaid (Not paid)</t>
  </si>
  <si>
    <t>1. Nhấn nút Enter payment
2. Nhập ngày thanh toán hiện tại, phương thức (Cash/LIQ)
3. Nhấn nút thanh toán toàn bộ 100% số tiền hóa đơn
4. Nhấn Pay và xác nhận Validate
5. Kiểm tra trạng thái hóa đơn và số tiền còn lại phải trả</t>
  </si>
  <si>
    <t>PaymentMode='Cash', Amount=100% (Full)</t>
  </si>
  <si>
    <t>Hóa đơn chuyển trạng thái sang Paid (Đã thanh toán, không còn Not paid); Số tiền còn lại phải trả (Remains to pay) = 0.00 €</t>
  </si>
  <si>
    <t>Ghi nhận thanh toán 100% thành công. Trạng thái hóa đơn cập nhật 'Paid', số tiền còn lại phải trả là 0.00 €.</t>
  </si>
  <si>
    <t>evidence/automation/sales/TC_SAL_015_PayInvoiceInFull_ShouldChangeStatusToPaid_2026-10-08_00-05-33.png</t>
  </si>
  <si>
    <t>TC_SAL_016</t>
  </si>
  <si>
    <t>Xử lý hóa đơn đặc biệt -- Hủy hóa đơn đã có thanh toán một phần (Negative Test)</t>
  </si>
  <si>
    <t>Thử hủy hóa đơn đang ở trạng thái Started (đã thanh toán một phần) -- kiểm tra ràng buộc nghiệp vụ</t>
  </si>
  <si>
    <t>State Transition (ST) - Negative</t>
  </si>
  <si>
    <t>Hóa đơn Total TTC = 220.00 € cho Cong ty ABC đã được thanh toán một phần 100.00 € (trạng thái Started, Remains to pay = 120.00 €) -- tái sử dụng hóa đơn của TC_SAL_011 nếu còn tồn tại trên hệ thống, hoặc tạo mới theo Bước 0.</t>
  </si>
  <si>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</si>
  <si>
    <t>InvoiceStatus='Started', AlreadyPaid=100.00 €, RemainsToPay=120.00 €</t>
  </si>
  <si>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</si>
  <si>
    <t>Bổ sung nhánh ST âm tính còn thiếu ở TC_SAL_009 (vốn chỉ test hủy khi Not paid, số tiền=0). Case này đối lập trực tiếp để xác nhận ràng buộc nghiệp vụ của Dolibarr.</t>
  </si>
  <si>
    <t>Tự thiết kế (bổ sung sau review 08/10/2026)</t>
  </si>
  <si>
    <t>TC_SAL_017</t>
  </si>
  <si>
    <t>Xử lý hóa đơn đặc biệt -- Thanh toán vượt quá số tiền còn nợ (Overpayment)</t>
  </si>
  <si>
    <t>Khảo sát hành vi khi nhập số tiền thanh toán lớn hơn số nợ còn lại (giá trị vượt biên trên)</t>
  </si>
  <si>
    <t>Hóa đơn đang ở trạng thái Started với số nợ còn lại chính xác là 120.00 € (kế thừa sau TC_SAL_011, hoặc tạo mới theo Bước 0 của TC_SAL_011).</t>
  </si>
  <si>
    <t>1. Mở trang chi tiết hóa đơn có nợ còn lại 120.00 €.
2. Nhấn "Enter payment".
3. Nhập số tiền thanh toán vượt biên trên: 150.00 € (lớn hơn 120.00 € đúng 30.00 €).
4. Nhấn "Pay" và "Validate", quan sát phản hồi hệ thống.</t>
  </si>
  <si>
    <t>RemainingAmount=120.00 €, OverpaidAmount=150.00 € (vượt biên +30.00 €)</t>
  </si>
  <si>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</si>
  <si>
    <t>Bổ sung biên trên còn thiếu -- TC_SAL_011/012 mới chỉ test giá trị nội bộ và biên đúng bằng nợ, chưa test giá trị vượt biên.</t>
  </si>
  <si>
    <t>TC_STK_005</t>
  </si>
  <si>
    <t>Điều chỉnh tồn kho thủ công -- Giảm đúng bằng tồn hiện có (biên hợp lệ tối đa)</t>
  </si>
  <si>
    <t>Điều chỉnh giảm tồn kho đúng bằng số lượng tồn hiện có, đưa tồn kho về chính xác 0 đơn vị</t>
  </si>
  <si>
    <t>Sản phẩm PR002 có tồn kho thực tế tại KHO001 là 40 đơn vị (sau TC_STK_001) hoặc 30 đơn vị (baseline độc lập).</t>
  </si>
  <si>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</si>
  <si>
    <t>Product='PR002', Warehouse='KHO001', CurrentStock=40, DecreaseQty=40 (đúng = tồn hiện có)</t>
  </si>
  <si>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</si>
  <si>
    <t>Bổ sung biên hợp lệ tối đa còn thiếu giữa TC_STK_002 (giảm một phần) và TC_STK_003 (vượt biên) -- khẳng định ranh giới chính xác giữa hợp lệ và không hợp lệ.</t>
  </si>
  <si>
    <t>TC_STK_006</t>
  </si>
  <si>
    <t>Điều chỉnh tồn kho thủ công -- Giảm vượt tồn đúng 1 đơn vị (biên không hợp lệ đầu tiên)</t>
  </si>
  <si>
    <t>Điều chỉnh giảm tồn kho vượt quá tồn hiện có đúng 1 đơn vị, xác định chính xác ngưỡng chặn</t>
  </si>
  <si>
    <t>Sản phẩm PR004 có tồn kho thực tế tại KHO001 chính xác là 89 đơn vị (mốc sạch baseline).</t>
  </si>
  <si>
    <t>1. Mở tab "Stock" của PR004.
2. Nhấn "Correct stock", chọn kho KHO001, thao tác "Remove".
3. Nhập số lượng vượt biên tối thiểu: 90 đơn vị (89 + 1).
4. Nhập lý do: "Khao sat bien vuot ton dung 1 don vi".
5. Nhấn "Save", quan sát phản hồi hệ thống.</t>
  </si>
  <si>
    <t>Product='PR004', Warehouse='KHO001', CurrentStock=89, DecreaseQty=90 (vượt biên đúng +1)</t>
  </si>
  <si>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</si>
  <si>
    <t>Cặp bổ sung với TC_STK_005 (biên hợp lệ=89) để có đúng cặp BVA chuẩn (N hợp lệ, N+1 không hợp lệ) thay vì chỉ test cực trị N+11 như TC_STK_003.</t>
  </si>
  <si>
    <t>TC_STK_007</t>
  </si>
  <si>
    <t>Cảnh báo tồn kho tối thiểu -- Tồn đúng bằng ngưỡng cảnh báo (biên chính xác)</t>
  </si>
  <si>
    <t>Kiểm tra hành vi cảnh báo khi tồn kho giảm về đúng bằng ngưỡng tối thiểu (xác định toán tử &lt; hay &lt;=)</t>
  </si>
  <si>
    <t>Sản phẩm PR003 có tồn kho tại KHO001 là 40 đơn vị (baseline), Stock limit for alert = 10, Desired stock = 50 (tái sử dụng cấu hình từ TC_STK_004 nếu đã thiết lập).</t>
  </si>
  <si>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</si>
  <si>
    <t>Product='PR003', StockLimit=10, DesiredStock=50, DecreaseQty=30, ResultStock=10 (đúng = ngưỡng)</t>
  </si>
  <si>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</si>
  <si>
    <t>Case quyết định -- giải quyết mâu thuẫn giữa ghi chú "&lt;" (log AI) và "&lt;=" (Expected trong file) của TC_STK_004.</t>
  </si>
  <si>
    <t>TC_CRM_017</t>
  </si>
  <si>
    <t>Tạo khách hàng -- kiểm tra định dạng Email không hợp lệ</t>
  </si>
  <si>
    <t>Tạo khách hàng với Email sai định dạng (thiếu @, thiếu domain)</t>
  </si>
  <si>
    <t>Trang Tạo khách hàng mới, đã đăng nhập admin.</t>
  </si>
  <si>
    <t>1. Mở form tạo khách hàng mới.
2. Nhập Tên = "TC017_InvalidEmail".
3. Nhập Email = "abc@" (thiếu domain), nhấn Save, quan sát.
4. Lặp lại với khách hàng mới, Email = "abc.com" (thiếu @), nhấn Save, quan sát.</t>
  </si>
  <si>
    <t>Email_1='abc@', Email_2='abc.com'</t>
  </si>
  <si>
    <t>Hệ thống từ chối lưu hoặc hiển thị cảnh báo định dạng Email không hợp lệ cho cả 2 giá trị; nếu Dolibarr không validate Email ở Back-end, ghi nhận đây là PHÁT HIỆN (finding) cần báo cáo, không coi là Bug chặn nghiệp vụ.</t>
  </si>
  <si>
    <t>Hệ thống từ chối lưu và hiển thị thông báo lỗi 'Email address ... is incorrect' cho cả hai chuỗi không hợp lệ ('abc@' và 'abc.com').</t>
  </si>
  <si>
    <t>2026-10-19</t>
  </si>
  <si>
    <t>docs/run_dot2_final_20261019_1326.log; TestResults/ExtentReports/Dolibarr_TestReport.html</t>
  </si>
  <si>
    <t>Kiểm thử Negative validation trường email đối tác. Chạy tự động qua Batch2ExtendedTests.</t>
  </si>
  <si>
    <t>Tự thiết kế (mở rộng đợt 2, 08/10/2026)</t>
  </si>
  <si>
    <t>TC_CRM_018</t>
  </si>
  <si>
    <t>Tạo khách hàng -- Email hợp lệ</t>
  </si>
  <si>
    <t>Tạo khách hàng với Email đúng chuẩn</t>
  </si>
  <si>
    <t>Trang Tạo khách hàng mới.</t>
  </si>
  <si>
    <t>1. Mở form tạo khách hàng.
2. Tên="TC018_ValidEmail".
3. Email="tc018.valid@example.com".
4. Save.</t>
  </si>
  <si>
    <t>Email='tc018.valid@example.com'</t>
  </si>
  <si>
    <t>Lưu thành công; trang chi tiết hiển thị đúng Email vừa nhập -- đối chứng happy-path cho field Email, đi cặp với TC_CRM_017.</t>
  </si>
  <si>
    <t>Hệ thống lưu thành công khách hàng với email hợp lệ (tc018.valid@example.com) và hiển thị chính xác trên trang chi tiết.</t>
  </si>
  <si>
    <t>Case đối chứng (positive partition) cho TC_CRM_017. Chạy tự động qua Batch2ExtendedTests.</t>
  </si>
  <si>
    <t>TC_CRM_019</t>
  </si>
  <si>
    <t>Tạo khách hàng -- SĐT hợp lệ (10 chữ số)</t>
  </si>
  <si>
    <t>Tạo khách hàng với Số điện thoại đúng 10 chữ số</t>
  </si>
  <si>
    <t>1. Tên="TC019_Phone10".
2. Phone="0912345678" (10 số).
3. Save.</t>
  </si>
  <si>
    <t>Phone='0912345678'</t>
  </si>
  <si>
    <t>Lưu thành công, trang chi tiết hiển thị đúng SĐT "0912345678" (10 chữ số, không bị cắt/đổi định dạng).</t>
  </si>
  <si>
    <t>Lưu thành công, trang chi tiết hiển thị đúng đầy đủ SĐT '0912345678' (10 chữ số, không bị cắt/đổi định dạng).</t>
  </si>
  <si>
    <t>automation/DolibarrTests/Tests/CrmQuickVerificationTests.cs (TC_CRM_019_VerifyPhone10Digits PASS)</t>
  </si>
  <si>
    <t>BVA trường số điện thoại 10 chữ số chuẩn.</t>
  </si>
  <si>
    <t>TC_CRM_020</t>
  </si>
  <si>
    <t>Tạo khách hàng -- SĐT chứa ký tự chữ (invalid)</t>
  </si>
  <si>
    <t>Tạo khách hàng với Số điện thoại lẫn ký tự chữ</t>
  </si>
  <si>
    <t>1. Tên="TC020_PhoneInvalid".
2. Phone="09ABCD5678".
3. Save.</t>
  </si>
  <si>
    <t>Phone='09ABCD5678'</t>
  </si>
  <si>
    <t>Ghi nhận hành vi thực tế quan sát được: Dolibarr mặc định để field Phone dạng free-text nên CÓ THỂ lưu nguyên văn "09ABCD5678" không báo lỗi -- nếu vậy đây là finding về thiếu validation, không phải bug chặn nghiệp vụ.</t>
  </si>
  <si>
    <t>Lưu thành công nguyên văn '09ABCD5678', không báo lỗi. Xác nhận trường Phone trong Dolibarr 22.0.4 là free-text và hệ thống thiếu validation ràng buộc định dạng SĐT.</t>
  </si>
  <si>
    <t>automation/DolibarrTests/Tests/CrmQuickVerificationTests.cs (TC_CRM_020_VerifyPhoneInvalidChars PASS)</t>
  </si>
  <si>
    <t>Khảo sát tính năng validation trường số điện thoại.</t>
  </si>
  <si>
    <t>TC_CRM_021</t>
  </si>
  <si>
    <t>Xóa khách hàng đang có hóa đơn liên kết</t>
  </si>
  <si>
    <t>Thử xóa khách hàng Cong ty ABC khi đang có hóa đơn Validated liên kết</t>
  </si>
  <si>
    <t>Khách hàng "Cong ty ABC" đang có ít nhất 1 hóa đơn Validated liên kết (ví dụ IN2609-0002 hoặc hóa đơn từ TC_SAL_011).</t>
  </si>
  <si>
    <t>1. Mở trang khách hàng Cong ty ABC.
2. Nhấn nút Xóa (Delete).
3. Xác nhận popup (nếu có).
4. Kiểm tra lại danh sách khách hàng.</t>
  </si>
  <si>
    <t>CustomerName='Cong ty ABC', LinkedInvoice=true</t>
  </si>
  <si>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</si>
  <si>
    <t>Hệ thống chặn xóa và hiển thị thông báo lỗi ràng buộc child records ('Object Cong ty ABC has at least one child of type Proposal...'). Khách hàng vẫn tồn tại nguyên vẹn.</t>
  </si>
  <si>
    <t>Ràng buộc toàn vẹn dữ liệu quan hệ Foreign Key khi xóa khách hàng. Chạy tự động qua Batch2ExtendedTests.</t>
  </si>
  <si>
    <t>TC_CRM_022</t>
  </si>
  <si>
    <t>Tạo khách hàng trùng tên với khách hàng đã tồn tại</t>
  </si>
  <si>
    <t>Tạo khách hàng mới với Tên trùng tuyệt đối "Cong ty ABC"</t>
  </si>
  <si>
    <t>Equivalence Partitioning (EP) - Negative</t>
  </si>
  <si>
    <t>Khách hàng "Cong ty ABC" đã tồn tại trong hệ thống.</t>
  </si>
  <si>
    <t>1. Mở form tạo khách hàng mới.
2. Tên="Cong ty ABC" (trùng tuyệt đối).
3. Save.
4. Kiểm tra danh sách khách hàng.</t>
  </si>
  <si>
    <t>CustomerName='Cong ty ABC' (duplicate)</t>
  </si>
  <si>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</si>
  <si>
    <t>Tạo thành công đối tác 'Cong ty ABC' trùng tên với Customer ID mới (socid=8), Dolibarr không áp unique constraint trên tên đối tác.</t>
  </si>
  <si>
    <t>automation/DolibarrTests/Tests/CrmQuickVerificationTests.cs (TC_CRM_022_VerifyDuplicateCustomerName PASS)</t>
  </si>
  <si>
    <t>Khảo sát quy tắc Unique Constraint trên tên khách hàng.</t>
  </si>
  <si>
    <t>TC_CRM_023</t>
  </si>
  <si>
    <t>Tìm kiếm khách hàng không phân biệt hoa/thường</t>
  </si>
  <si>
    <t>Tìm kiếm với từ khóa viết thường toàn bộ "cong ty abc"</t>
  </si>
  <si>
    <t>Khách hàng "Cong ty ABC" đã tồn tại.</t>
  </si>
  <si>
    <t>1. Mở trang danh sách khách hàng.
2. Nhập từ khóa tìm kiếm: "cong ty abc" (viết thường).
3. Nhấn Search.</t>
  </si>
  <si>
    <t>SearchKeyword='cong ty abc' (lowercase)</t>
  </si>
  <si>
    <t>Kết quả tìm kiếm trả về đúng khách hàng "Cong ty ABC" (case-insensitive search hoạt động đúng, hành vi mặc định của MySQL LIKE).</t>
  </si>
  <si>
    <t>Tìm kiếm bằng từ khóa viết thường trả về chính xác khách hàng có tên hoa-thường hỗn hợp (Case-insensitive).</t>
  </si>
  <si>
    <t>Case-insensitive search testing. Chạy tự động qua Batch2ExtendedTests.</t>
  </si>
  <si>
    <t>TC_CRM_024</t>
  </si>
  <si>
    <t>Khảo sát an toàn ô tìm kiếm trước SQL Injection</t>
  </si>
  <si>
    <t>Thử nhập chuỗi SQL Injection vào ô tìm kiếm khách hàng</t>
  </si>
  <si>
    <t>Security Testing (Negative, Exploratory)</t>
  </si>
  <si>
    <t>Trang danh sách khách hàng, môi trường dolibarr_clean (KHÔNG chạy trên DB production).</t>
  </si>
  <si>
    <t>1. Nhập vào ô tìm kiếm: ' OR '1'='1 . Nhấn tìm kiếm, quan sát kết quả.
2. Thử thêm payload thứ 2: '; DROP TABLE llx_societe;-- . Nhấn tìm kiếm, quan sát.</t>
  </si>
  <si>
    <t>Payload_1="' OR '1'='1", Payload_2="'; DROP TABLE llx_societe;--"</t>
  </si>
  <si>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</si>
  <si>
    <t>Case nhạy cảm bảo mật, thực hiện thủ công cẩn trọng, chỉ chạy trên môi trường test dolibarr_clean.</t>
  </si>
  <si>
    <t>TC_SAL_018</t>
  </si>
  <si>
    <t>Xử lý hóa đơn đặc biệt -- Hủy hóa đơn ở trạng thái Draft (chưa Validate)</t>
  </si>
  <si>
    <t>Hủy/xóa hóa đơn Draft, so sánh với luồng hủy hóa đơn Validated</t>
  </si>
  <si>
    <t>Báo giá đã Validate+Sign cho Cong ty ABC với 1 dòng PR001, đã nhấn "Create invoice" nhưng CHƯA Validate hóa đơn (còn ở trạng thái Draft).</t>
  </si>
  <si>
    <t>1. Mở hóa đơn Draft vừa tạo.
2. Tìm nút xóa/hủy tương ứng (Dolibarr thường hiển thị "Delete" cho hóa đơn Draft thay vì "Cancel").
3. Nhấn và xác nhận popup.
4. Kiểm tra hóa đơn còn tồn tại trong danh sách hay đã bị xóa hẳn.</t>
  </si>
  <si>
    <t>InvoiceStatus='Draft'</t>
  </si>
  <si>
    <t>Hóa đơn Draft bị XÓA HẲN khỏi hệ thống (khác với hủy hóa đơn Validated ở TC_SAL_009, nơi hóa đơn chỉ chuyển trạng thái Canceled và vẫn giữ bản ghi) -- xác nhận Dolibarr phân biệt rõ 2 luồng "Delete Draft" và "Cancel Validated".</t>
  </si>
  <si>
    <t>Phân biệt luồng xóa Draft và hủy Validated.</t>
  </si>
  <si>
    <t>TC_SAL_019</t>
  </si>
  <si>
    <t>Xử lý hóa đơn đặc biệt -- Credit note một phần số lượng</t>
  </si>
  <si>
    <t>Tạo Credit note chỉ hoàn 1 phần số lượng sản phẩm (partial return)</t>
  </si>
  <si>
    <t>Hóa đơn gốc Validated cho Cong ty ABC: PR001 SL=4, đơn giá 100 €, Total HT=400.00 €, VAT=40.00 €, Total TTC=440.00 €.</t>
  </si>
  <si>
    <t>1. Mở hóa đơn gốc.
2. Nhấn "Create credit note".
3. Tại dòng sản phẩm PR001, SỬA số lượng hoàn trả từ 4 xuống 2 (chỉ hoàn một nửa).
4. Nhấn "Create draft" rồi "Validate".</t>
  </si>
  <si>
    <t>OriginalQty=4, ReturnQty=2 (một phần)</t>
  </si>
  <si>
    <t>Hóa đơn hoàn tiền ghi nhận: Total HT=-200.00 €, VAT=-20.00 €, Total TTC=-220.00 € (đúng một nửa giá trị gốc 440.00 €, KHÔNG phải toàn bộ -440.00 €) -- xác nhận khả năng hoàn tiền một phần số lượng của Dolibarr.</t>
  </si>
  <si>
    <t>Hoàn trả từng phần hàng hóa qua Credit note.</t>
  </si>
  <si>
    <t>TC_SAL_020</t>
  </si>
  <si>
    <t>Xử lý hóa đơn đặc biệt -- Nhập số tiền thanh toán = 0 € (biên dưới không hợp lệ)</t>
  </si>
  <si>
    <t>Khảo sát hành vi khi nhập Amount = 0.00 € tại Enter payment</t>
  </si>
  <si>
    <t>Hóa đơn Not paid, Total TTC=110.00 €.</t>
  </si>
  <si>
    <t>1. Mở hóa đơn.
2. Nhấn "Enter payment".
3. Nhập Amount=0.00 €.
4. Nhấn "Pay".</t>
  </si>
  <si>
    <t>Amount=0.00 €</t>
  </si>
  <si>
    <t>Hệ thống từ chối lưu giao dịch thanh toán 0 € (biên dưới không hợp lệ), hiển thị lỗi dạng "Amount must be positive" hoặc tương đương; trạng thái hóa đơn giữ nguyên Not paid, Already paid vẫn = 0.00 €.</t>
  </si>
  <si>
    <t>Hệ thống chặn thanh toán 0.00 € và hiển thị thông báo lỗi 'Field Payment amount is required'. Hóa đơn giữ nguyên trạng thái Not paid, Already paid = 0.00 €.</t>
  </si>
  <si>
    <t>BVA biên dưới không hợp lệ Amount = 0. Chạy tự động qua Batch2ExtendedTests.</t>
  </si>
  <si>
    <t>TC_SAL_021</t>
  </si>
  <si>
    <t>Xử lý hóa đơn đặc biệt -- Nhập số tiền thanh toán âm (invalid)</t>
  </si>
  <si>
    <t>Khảo sát hành vi khi nhập Amount âm tại Enter payment</t>
  </si>
  <si>
    <t>1. Mở hóa đơn.
2. Nhấn "Enter payment".
3. Nhập Amount=-50.00 €.
4. Nhấn "Pay".</t>
  </si>
  <si>
    <t>Amount=-50.00 €</t>
  </si>
  <si>
    <t>Hệ thống từ chối lưu (biên dưới không hợp lệ, giá trị âm), hiển thị lỗi validation; KHÔNG phát sinh giao dịch thanh toán âm trong lịch sử Payment của hóa đơn.</t>
  </si>
  <si>
    <t>Hệ thống chặn thanh toán số tiền âm (-50.00 €). Hóa đơn giữ nguyên trạng thái Not paid, Already paid = 0.00 €.</t>
  </si>
  <si>
    <t>BVA biên dưới âm Amount &lt; 0. Chạy tự động qua Batch2ExtendedTests.</t>
  </si>
  <si>
    <t>TC_SAL_022</t>
  </si>
  <si>
    <t>Xử lý hóa đơn đặc biệt -- Thanh toán bằng phương thức Bank transfer</t>
  </si>
  <si>
    <t>Ghi nhận thanh toán đủ 110.00 € qua Bank transfer (khác Cash)</t>
  </si>
  <si>
    <t>1. Mở hóa đơn.
2. Nhấn "Enter payment".
3. Chọn PaymentMode="Bank transfer" (VIR), nhập số ref giao dịch giả lập "VIR-TEST-001".
4. Amount=110.00 €.
5. Nhấn "Pay" rồi "Validate".</t>
  </si>
  <si>
    <t>PaymentMode='VIR (Bank transfer)', Amount=110.00 €</t>
  </si>
  <si>
    <t>Giao dịch ghi nhận đúng PaymentMode="Bank transfer"; trạng thái hóa đơn chuyển "Paid"; Already paid=110.00 €, Remains to pay=0.00 € -- xác nhận hệ thống hỗ trợ đúng nhiều phương thức thanh toán ngoài Cash.</t>
  </si>
  <si>
    <t>Đa dạng hóa phương thức thanh toán.</t>
  </si>
  <si>
    <t>TC_SAL_023</t>
  </si>
  <si>
    <t>Luồng chuẩn hóa đơn -- Validate hóa đơn không có dòng sản phẩm</t>
  </si>
  <si>
    <t>Thử Validate một hóa đơn Draft rỗng (không có dòng sản phẩm nào)</t>
  </si>
  <si>
    <t>Negative Testing</t>
  </si>
  <si>
    <t>Hóa đơn Draft cho Cong ty ABC, KHÔNG thêm dòng sản phẩm nào.</t>
  </si>
  <si>
    <t>1. Mở hóa đơn Draft rỗng.
2. Nhấn "Validate".</t>
  </si>
  <si>
    <t>LineItems=0 (rỗng)</t>
  </si>
  <si>
    <t>Hệ thống CHẶN Validate, hiển thị lỗi dạng "Cannot validate an invoice with no line" hoặc tương đương; hóa đơn giữ nguyên trạng thái Draft, KHÔNG được cấp mã chính thức IN....</t>
  </si>
  <si>
    <t>Nút Validate không khả dụng trên giao diện (chỉ có CLONE, DELETE). Khi gửi yêu cầu xác nhận validate, server chặn và hiển thị thông báo lỗi 'Object (PROV...) must have lines to be validated.'. Hóa đơn giữ nguyên mã tạm PROV..., không được cấp mã chính thức IN....</t>
  </si>
  <si>
    <t>Negative test: chặn xác thực hóa đơn rỗng. Đã đối chiếu log detailed thô và khớp Expected.</t>
  </si>
  <si>
    <t>TC_SAL_024</t>
  </si>
  <si>
    <t>Xử lý hóa đơn đặc biệt -- Credit note trên hóa đơn có chiết khấu dòng</t>
  </si>
  <si>
    <t>Tạo Credit note toàn bộ từ hóa đơn gốc có chiết khấu 10%, kiểm tra số âm đúng sau chiết khấu</t>
  </si>
  <si>
    <t>Hóa đơn gốc Validated: PR001 SL=2, đơn giá 100 €, chiết khấu dòng 10%, Total HT=180.00 € (200-20), VAT=18.00 €, Total TTC=198.00 €.</t>
  </si>
  <si>
    <t>1. Mở hóa đơn gốc.
2. Nhấn "Create credit note" (hoàn toàn bộ, giữ nguyên chiết khấu dòng).
3. Create draft, Validate.</t>
  </si>
  <si>
    <t>DiscountPercent=10%, OriginalTotalTTC=198.00 €</t>
  </si>
  <si>
    <t>Credit note phản ánh ĐÚNG giá trị SAU chiết khấu ở dạng âm: Total HT=-180.00 €, VAT=-18.00 €, Total TTC=-198.00 € (KHÔNG phải -200.00/-20.00/-220.00 € là giá trước chiết khấu) -- xác nhận chiết khấu được bảo toàn đúng khi hoàn tiền.</t>
  </si>
  <si>
    <t>Bảo toàn chiết khấu dòng khi hoàn tiền.</t>
  </si>
  <si>
    <t>TC_SAL_025</t>
  </si>
  <si>
    <t>Xử lý hóa đơn đặc biệt -- Thử tạo 2 Credit note liên tiếp từ cùng 1 hóa đơn gốc</t>
  </si>
  <si>
    <t>Khảo sát việc tạo Credit note lần 2 sau khi hóa đơn gốc đã được hoàn đủ 100%</t>
  </si>
  <si>
    <t>Hóa đơn gốc Validated Total TTC=110.00 €, ĐÃ có 1 Credit note đầy đủ -110.00 € (kế thừa từ TC_SAL_010).</t>
  </si>
  <si>
    <t>1. Mở lại hóa đơn gốc đã có Credit note.
2. Thử nhấn "Create credit note" lần 2.
3. Quan sát hệ thống có cho tạo tiếp hay chặn.</t>
  </si>
  <si>
    <t>ExistingCreditNote=-110.00 € (full)</t>
  </si>
  <si>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</si>
  <si>
    <t>Kiểm tra chống lặp tạo Credit note vượt giá trị.</t>
  </si>
  <si>
    <t>TC_SAL_026</t>
  </si>
  <si>
    <t>Xử lý hóa đơn đặc biệt -- Xuất PDF hóa đơn đã bị hủy (Canceled)</t>
  </si>
  <si>
    <t>Kiểm tra nhãn/watermark trạng thái hủy khi xuất PDF hóa đơn Canceled</t>
  </si>
  <si>
    <t>Functional Testing</t>
  </si>
  <si>
    <t>Hóa đơn đã Canceled (kế thừa từ TC_SAL_009).</t>
  </si>
  <si>
    <t>1. Mở hóa đơn Canceled.
2. Nhấn "Generate PDF" / xem file PDF đính kèm.
3. Kiểm tra nội dung PDF.</t>
  </si>
  <si>
    <t>InvoiceStatus='Canceled'</t>
  </si>
  <si>
    <t>PDF xuất ra hiển thị rõ nhãn/watermark trạng thái hủy (ví dụ "CANCELED"/"ANNULÉE" hoặc badge tương đương) để tránh nhầm lẫn khi gửi cho khách hàng hoặc kế toán đối chiếu.</t>
  </si>
  <si>
    <t>Kiểm tra watermark PDF chứng từ hủy.</t>
  </si>
  <si>
    <t>TC_SAL_027</t>
  </si>
  <si>
    <t>Xử lý hóa đơn đặc biệt -- Thời gian xử lý tạo Credit note trên hóa đơn nhiều dòng</t>
  </si>
  <si>
    <t>Đo thời gian tạo Credit note trên hóa đơn có 20 dòng sản phẩm</t>
  </si>
  <si>
    <t>Non-functional Testing (Performance)</t>
  </si>
  <si>
    <t>P3</t>
  </si>
  <si>
    <t>Hóa đơn gốc Validated có 20 dòng sản phẩm khác nhau (tạo thủ công hoặc bằng automation phụ trợ).</t>
  </si>
  <si>
    <t>1. Chuẩn bị đồng hồ bấm giờ hoặc DevTools Network tab.
2. Nhấn "Create credit note".
3. Ghi nhận thời gian từ lúc bấm nút đến khi trang Credit note Draft load xong hoàn toàn (đủ 20 dòng).</t>
  </si>
  <si>
    <t>SoDongSanPham=20</t>
  </si>
  <si>
    <t>Thời gian xử lý ≤ 5 giây (ngưỡng tham khảo nhóm tự đặt do đề bài không quy định SLA chính thức) -- ghi nhận số liệu thực tế đo được dù đạt hay không đạt ngưỡng.</t>
  </si>
  <si>
    <t>Ngưỡng 5 giây là ước lượng tham khảo của nhóm, không phải yêu cầu chính thức từ đề bài.</t>
  </si>
  <si>
    <t>TC_STK_008</t>
  </si>
  <si>
    <t>Điều chỉnh tồn kho thủ công -- Nhập ký tự chữ vào ô số lượng</t>
  </si>
  <si>
    <t>Khảo sát validation khi nhập ký tự không phải số vào ô Quantity</t>
  </si>
  <si>
    <t>Sản phẩm PR002 đang có tồn kho tại KHO001 (bất kỳ giá trị hiện tại).</t>
  </si>
  <si>
    <t>1. Mở Correct stock của PR002, chọn kho KHO001.
2. Chọn thao tác Add.
3. Nhập "abc" vào ô Quantity.
4. Nhấn Save.</t>
  </si>
  <si>
    <t>Quantity='abc' (không phải số)</t>
  </si>
  <si>
    <t>Hệ thống từ chối lưu hoặc tự động chặn nhập ký tự không phải số ngay tại ô input (validation HTML5 type=number hoặc JS phía client); tồn kho PR002 KHÔNG thay đổi so với trước thao tác.</t>
  </si>
  <si>
    <t>Validation ký tự phi số tại ô số lượng.</t>
  </si>
  <si>
    <t>TC_STK_009</t>
  </si>
  <si>
    <t>Điều chỉnh tồn kho thủ công -- Nhập số lượng âm trực tiếp vào thao tác Add</t>
  </si>
  <si>
    <t>Khảo sát hành vi khi nhập Quantity âm cho thao tác Add (Tăng kho)</t>
  </si>
  <si>
    <t>Boundary Value Analysis (BVA) - Negative</t>
  </si>
  <si>
    <t>Sản phẩm PR002 đang có tồn kho tại KHO001.</t>
  </si>
  <si>
    <t>1. Correct stock PR002, chọn kho KHO001.
2. Chọn thao tác Add.
3. Nhập Quantity=-5.
4. Nhấn Save.</t>
  </si>
  <si>
    <t>Action='Add', Quantity=-5</t>
  </si>
  <si>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</si>
  <si>
    <t>Validation số lượng âm tại thao tác tăng kho.</t>
  </si>
  <si>
    <t>TC_STK_010</t>
  </si>
  <si>
    <t>Điều chỉnh tồn kho thủ công -- Số lượng điều chỉnh = 0</t>
  </si>
  <si>
    <t>Khảo sát hành vi khi nhập Quantity=0 tại Correct stock</t>
  </si>
  <si>
    <t>1. Correct stock PR002, chọn kho KHO001.
2. Chọn thao tác Add.
3. Nhập Quantity=0.
4. Nhấn Save.</t>
  </si>
  <si>
    <t>Quantity=0</t>
  </si>
  <si>
    <t>Hệ thống KHÔNG tạo dòng biến động mới có ý nghĩa trong Stock movements (hoặc tạo dòng "+0" vô nghĩa -- ghi nhận thực tế); tồn kho PR002 KHÔNG đổi so với trước thao tác.</t>
  </si>
  <si>
    <t>Hệ thống chặn và hiển thị lỗi 'Field Number of units is required'. Tồn kho PR002 giữ nguyên 39 → 39, không phát sinh dòng biến động mới trong Stock movements (0 → 0 dòng).</t>
  </si>
  <si>
    <t>BVA điểm biên số lượng = 0. Đã đối chiếu số liệu log detailed 39 -&gt; 39.</t>
  </si>
  <si>
    <t>TC_STK_011</t>
  </si>
  <si>
    <t>Cảnh báo tồn kho tối thiểu -- Tồn kho tăng trở lại vượt ngưỡng, icon cảnh báo biến mất</t>
  </si>
  <si>
    <t>Kiểm tra biểu tượng cảnh báo tự động biến mất khi tồn kho vượt lại ngưỡng tối thiểu</t>
  </si>
  <si>
    <t>PR003 đang ở tồn=8 đơn vị (dưới ngưỡng 10, cảnh báo đang hiển thị, kế thừa từ TC_STK_004).</t>
  </si>
  <si>
    <t>1. Correct stock PR003, chọn kho KHO001, thao tác Add, nhập +5 đơn vị (đưa tồn từ 8 lên 13, vượt ngưỡng 10).
2. Nhấn Save.
3. Kiểm tra trang chi tiết sản phẩm và danh mục Products.
4. Kiểm tra trang Replenishment.</t>
  </si>
  <si>
    <t>Before=8, Add=5, After=13 (&gt;10)</t>
  </si>
  <si>
    <t>Tồn kho PR003 = 13 đơn vị (8+5); biểu tượng cảnh báo tam giác vàng BIẾN MẤT khỏi trang chi tiết và danh mục sản phẩm; PR003 KHÔNG còn xuất hiện trong danh sách Replenishment.</t>
  </si>
  <si>
    <t>Kiểm tra cơ chế khôi phục trạng thái khi hết thiếu hụt tồn kho.</t>
  </si>
  <si>
    <t>TC_STK_012</t>
  </si>
  <si>
    <t>Điều chỉnh tồn kho thủ công -- Hiển thị trạng thái "Hết hàng" khi tồn kho = 0</t>
  </si>
  <si>
    <t>Kiểm tra giao diện hiển thị rõ ràng khi tồn kho sản phẩm về đúng 0</t>
  </si>
  <si>
    <t>Một sản phẩm có tồn kho = 0 (ví dụ PR002 sau khi chạy TC_STK_005 đưa tồn về 0).</t>
  </si>
  <si>
    <t>1. Mở trang chi tiết PR002.
2. Mở danh mục Products (danh sách sản phẩm).
3. Quan sát cách hệ thống hiển thị trạng thái tồn kho.</t>
  </si>
  <si>
    <t>Stock=0</t>
  </si>
  <si>
    <t>Hệ thống hiển thị rõ ràng số lượng tồn = 0 (không để trống gây nhầm lẫn), có thể kèm biểu tượng/màu riêng biệt với trạng thái "dưới ngưỡng tối thiểu" (F-STK-03) để phân biệt "sắp hết" và "đã hết hoàn toàn".</t>
  </si>
  <si>
    <t>Giao diện hiển thị trực quan khi hết hàng.</t>
  </si>
  <si>
    <t>TC_STK_013</t>
  </si>
  <si>
    <t>Điều chỉnh tồn kho thủ công -- 2 người dùng điều chỉnh đồng thời cùng sản phẩm (Race Condition)</t>
  </si>
  <si>
    <t>Khảo sát tính toàn vẹn dữ liệu khi 2 phiên đăng nhập cùng điều chỉnh tồn kho 1 sản phẩm song song</t>
  </si>
  <si>
    <t>Non-functional Testing (Concurrency)</t>
  </si>
  <si>
    <t>PR004 tồn=89 đơn vị (baseline); mở 2 tab trình duyệt (2 phiên đăng nhập admin) song song.</t>
  </si>
  <si>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</si>
  <si>
    <t>InitialStock=89, TabB_Remove=5 (lưu trước), TabA_Remove=10 (đọc tồn cũ 89, lưu sau)</t>
  </si>
  <si>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</si>
  <si>
    <t>Kiểm tra tương tranh đa người dùng (Concurrency / Lost Update).</t>
  </si>
  <si>
    <t>TC_STK_014</t>
  </si>
  <si>
    <t>Cảnh báo tồn kho tối thiểu -- Thời gian tải trang Replenishment</t>
  </si>
  <si>
    <t>Đo thời gian tải trang Replenishment khi có nhiều sản phẩm dưới ngưỡng cảnh báo</t>
  </si>
  <si>
    <t>Có ít nhất 3-4 sản phẩm đang dưới ngưỡng cảnh báo (PR003 sau TC_STK_004/TC_STK_007 là một ví dụ).</t>
  </si>
  <si>
    <t>1. Automation điều hướng đến trang Replenishment (Products | Services &gt; Replenishment).
2. Đo thời gian từ lúc gọi Navigate đến khi document.readyState='complete' bằng Stopwatch C#.</t>
  </si>
  <si>
    <t>SoSanPhamDuoiNguong&gt;=3</t>
  </si>
  <si>
    <t>Thời gian tải trang &lt;= 3 giây (ngưỡng tham khảo tự đặt) -- ghi nhận số liệu thực tế đo bằng Stopwatch trong code.</t>
  </si>
  <si>
    <t>Chưa thực hiện do thiếu điều kiện tiên quyết tự nhiên (trang Replenishment chỉ có 0/3 sản phẩm dưới ngưỡng cảnh báo). Không can thiệp sửa baseline bằng SQL.</t>
  </si>
  <si>
    <t>Skipped: thiếu precondition tự nhiên trên mốc sạch dolibarr_clean.</t>
  </si>
  <si>
    <t>TC_CRM_025</t>
  </si>
  <si>
    <t>Chỉnh sửa khách hàng -- Đổi phân loại đối tác thành Nhà cung cấp</t>
  </si>
  <si>
    <t>Chuyển đổi phân loại khách hàng (Customer) thành Nhà cung cấp (Vendor)</t>
  </si>
  <si>
    <t>Đã có khách hàng tồn tại trong hệ thống (ví dụ KH_EditType).</t>
  </si>
  <si>
    <t>1. Mở trang chi tiết khách hàng KH_EditType.
2. Nhấn nút Modify (Chỉnh sửa).
3. Tại ô 'Prospect / Customer' chọn 'Nor prospect, nor customer'. Tại ô 'Vendor' chọn 'Yes'.
4. Nhấn Save.</t>
  </si>
  <si>
    <t>Name='KH_EditType', Customer='No', Vendor='Yes'</t>
  </si>
  <si>
    <t>Hệ thống lưu thành công; phân loại chuyển thành Nhà cung cấp (Vendor = Yes, Customer = No); xuất hiện tab/menu liên quan đến nhà cung cấp.</t>
  </si>
  <si>
    <t>Mở rộng đợt 3 (Đạt 100 TC)</t>
  </si>
  <si>
    <t>TC_CRM_026</t>
  </si>
  <si>
    <t>Chỉnh sửa khách hàng -- Cập nhật địa chỉ và Zip code chứa ký tự đặc biệt</t>
  </si>
  <si>
    <t>Cập nhật địa chỉ kèm mã bưu chính Zip Code hợp lệ</t>
  </si>
  <si>
    <t>Đã có khách hàng tồn tại, đang ở trang chỉnh sửa khách hàng.</t>
  </si>
  <si>
    <t>1. Mở trang chỉnh sửa khách hàng.
2. Nhập Address = '123 Đường số 1, P. 4, Q. 5'.
3. Nhập Zip Code = '700000', City = 'Ho Chi Minh'.
4. Nhấn Save.</t>
  </si>
  <si>
    <t>Address='123 Đường số 1, P. 4, Q. 5', Zip='700000', City='Ho Chi Minh'</t>
  </si>
  <si>
    <t>Hệ thống lưu thành công; trên card khách hàng hiển thị chính xác địa chỉ '123 Đường số 1, P. 4, Q. 5' và mã '700000 Ho Chi Minh'.</t>
  </si>
  <si>
    <t>TC_CRM_027</t>
  </si>
  <si>
    <t>Chỉnh sửa khách hàng -- Nhập ký tự chữ vào số điện thoại</t>
  </si>
  <si>
    <t>Kiểm tra ràng buộc trường Số điện thoại với ký tự không phải số</t>
  </si>
  <si>
    <t>Error Guessing (EG)</t>
  </si>
  <si>
    <t>Khách hàng tồn tại, đang mở form chỉnh sửa.</t>
  </si>
  <si>
    <t>1. Mở form chỉnh sửa khách hàng.
2. Nhập Phone = 'abc-xyz-phone'.
3. Nhấn Save, quan sát phản hồi hệ thống.</t>
  </si>
  <si>
    <t>Phone='abc-xyz-phone'</t>
  </si>
  <si>
    <t>Hệ thống Dolibarr chấp nhận lưu hoặc cảnh báo (ghi nhận hành vi thực tế Dolibarr cho phép định dạng text tự do cho số quốc tế hay bắt buộc số).</t>
  </si>
  <si>
    <t>TC_CRM_028</t>
  </si>
  <si>
    <t>Chỉnh sửa khách hàng -- Chuyển trạng thái sang Ngừng hoạt động (Closed)</t>
  </si>
  <si>
    <t>Chuyển trạng thái khách hàng từ Active sang Closed/Inactive</t>
  </si>
  <si>
    <t>Khách hàng đang ở trạng thái Hoạt động (Active = 1).</t>
  </si>
  <si>
    <t>1. Mở trang chi tiết khách hàng.
2. Nhấn nút Disable / Close đối tác.
3. Xác nhận trên hộp thoại cảnh báo.
4. Quan sát huy hiệu trạng thái.</t>
  </si>
  <si>
    <t>Status: Active (1) -&gt; Closed (0)</t>
  </si>
  <si>
    <t>Trạng thái khách hàng đổi thành 'Closed / Inactive' (màu xám); không xuất hiện trong dropdown chọn khách hàng khi tạo báo giá mới.</t>
  </si>
  <si>
    <t>TC_CRM_029</t>
  </si>
  <si>
    <t>Tìm kiếm khách hàng -- Tìm chính xác bằng Mã khách hàng (Customer Code)</t>
  </si>
  <si>
    <t>Tìm kiếm khách hàng bằng Mã đối tác (Customer Code CUxxxx-xxxx)</t>
  </si>
  <si>
    <t>Khách hàng đã có mã đối tác (ví dụ CU2609-0001) trong hệ thống.</t>
  </si>
  <si>
    <t>1. Vào menu Danh sách khách hàng (Third-parties &gt; Customers).
2. Nhập mã 'CU2609-0001' vào ô lọc cột Customer code.
3. Nhấn Enter hoặc nút kính lúp tìm kiếm.</t>
  </si>
  <si>
    <t>CustomerCode='CU2609-0001'</t>
  </si>
  <si>
    <t>Bảng kết quả trả về đúng 1 bản ghi duy nhất khớp với mã 'CU2609-0001'.</t>
  </si>
  <si>
    <t>TC_CRM_030</t>
  </si>
  <si>
    <t>Tìm kiếm khách hàng -- Tìm kiếm không phân biệt chữ hoa/thường</t>
  </si>
  <si>
    <t>Tìm kiếm khách hàng không phân biệt hoa thường (Case Insensitive)</t>
  </si>
  <si>
    <t>Đã có khách hàng tên 'Cong ty ABC' trong hệ thống.</t>
  </si>
  <si>
    <t>1. Vào danh sách khách hàng.
2. Nhập từ khóa 'cong ty abc' (chữ thường toàn bộ) vào ô tìm kiếm Tên.
3. Nhấn tìm kiếm.</t>
  </si>
  <si>
    <t>SearchTerm='cong ty abc'</t>
  </si>
  <si>
    <t>Hệ thống trả về bản ghi 'Cong ty ABC' (khớp không phân biệt hoa thường theo chuẩn MariaDB utf8mb4_unicode_ci).</t>
  </si>
  <si>
    <t>TC_CRM_031</t>
  </si>
  <si>
    <t>Tìm kiếm khách hàng -- Tìm kiếm bằng ký tự đại diện wildcard (* hoặc %)</t>
  </si>
  <si>
    <t>Tìm kiếm khách hàng sử dụng ký tự đại diện wildcard</t>
  </si>
  <si>
    <t>Hệ thống có nhiều khách hàng chứa từ 'Cong ty'.</t>
  </si>
  <si>
    <t>1. Vào ô tìm kiếm khách hàng.
2. Nhập từ khóa 'Cong*%ABC' hoặc '%ABC%'.
3. Quan sát hệ thống xử lý ký tự wildcard.</t>
  </si>
  <si>
    <t>SearchTerm='%ABC%'</t>
  </si>
  <si>
    <t>Hệ thống trả về danh sách khách hàng có chứa 'ABC' hoặc xử lý an toàn chuỗi wildcard không gây lỗi SQL syntax.</t>
  </si>
  <si>
    <t>TC_CRM_032</t>
  </si>
  <si>
    <t>Xóa khách hàng -- Ràng buộc toàn vẹn khi khách hàng đã có Báo giá/Hóa đơn</t>
  </si>
  <si>
    <t>Chặn xóa khách hàng khi đã phát sinh chứng từ thương mại (Integrity Constraint)</t>
  </si>
  <si>
    <t>Khách hàng 'Cong ty ABC' đã có báo giá PR2609-0001 hoặc hóa đơn liên kết.</t>
  </si>
  <si>
    <t>1. Mở trang chi tiết của 'Cong ty ABC'.
2. Nhấn nút Delete (Xóa).
3. Xác nhận 'Yes' trên hộp thoại xác nhận.</t>
  </si>
  <si>
    <t>CustomerID=Cong ty ABC (đã có hóa đơn)</t>
  </si>
  <si>
    <t>Hệ thống từ chối xóa, hiển thị thông báo lỗi ràng buộc toàn vẹn dữ liệu: không thể xóa đối tác khi đã có chứng từ liên kết.</t>
  </si>
  <si>
    <t>TC_CRM_033</t>
  </si>
  <si>
    <t>Xóa khách hàng -- Hủy bỏ thao tác xóa tại hộp thoại xác nhận (Cancel modal)</t>
  </si>
  <si>
    <t>Hủy bỏ thao tác xóa đối tác tại hộp thoại xác nhận Modal</t>
  </si>
  <si>
    <t>Khách hàng mới tạo chưa có chứng từ liên kết.</t>
  </si>
  <si>
    <t>1. Mở trang chi tiết khách hàng.
2. Nhấn nút Delete.
3. Tại hộp thoại xác nhận, nhấn nút 'No' hoặc 'Cancel'.</t>
  </si>
  <si>
    <t>Action=Cancel delete</t>
  </si>
  <si>
    <t>Hộp thoại đóng lại; khách hàng vẫn tồn tại nguyên vẹn, không bị xóa khỏi cơ sở dữ liệu.</t>
  </si>
  <si>
    <t>TC_CRM_034</t>
  </si>
  <si>
    <t>Xóa khách hàng -- Thử xóa hàng loạt khách hàng qua danh sách (Mass action)</t>
  </si>
  <si>
    <t>Khảo sát tính năng xóa hàng loạt (Mass Action) trong danh sách khách hàng</t>
  </si>
  <si>
    <t>Decision Table (DT)</t>
  </si>
  <si>
    <t>Danh sách khách hàng có nhiều bản ghi nháp test.</t>
  </si>
  <si>
    <t>1. Vào danh sách khách hàng.
2. Chọn checkbox ở 2 dòng khách hàng test.
3. Tại dropdown Mass action, chọn 'Delete' và nhấn Confirm.</t>
  </si>
  <si>
    <t>SelectedRows=[Row1, Row2]</t>
  </si>
  <si>
    <t>Hệ thống xóa thành công các bản ghi đủ điều kiện (không có ràng buộc chứng từ) và báo lỗi với các bản ghi có ràng buộc.</t>
  </si>
  <si>
    <t>TC_CRM_035</t>
  </si>
  <si>
    <t>Tạo khách hàng -- Kiểm tra quy tắc sinh mã tự động (Customer Code Rule)</t>
  </si>
  <si>
    <t>Tạo khách hàng và đối chiếu quy tắc sinh mã tự động theo cấu hình modul</t>
  </si>
  <si>
    <t>Cấu hình module Third-party quy định mã tự động dạng CUyyMM-nnnn.</t>
  </si>
  <si>
    <t>1. Mở form tạo khách hàng.
2. Để trống ô 'Customer code' (tự động).
3. Nhập Tên hợp lệ và nhấn Save.
4. Quan sát mã được sinh ra.</t>
  </si>
  <si>
    <t>CustomerCode=auto</t>
  </si>
  <si>
    <t>Mã khách hàng tự sinh tuân thủ đúng định dạng quy chuẩn (bắt đầu bằng ký tự 'CU' kèm năm tháng và số thứ tự tăng dần).</t>
  </si>
  <si>
    <t>TC_CRM_036</t>
  </si>
  <si>
    <t>Tạo khách hàng -- Nhập địa chỉ Web URL hợp lệ và không hợp lệ</t>
  </si>
  <si>
    <t>Kiểm tra xác thực trường Web URL của khách hàng</t>
  </si>
  <si>
    <t>Form tạo khách hàng mới.</t>
  </si>
  <si>
    <t>1. Nhập Web = 'https://www.dolibarr.org', nhấn Save.
2. Tạo khách hàng khác với Web = 'not-a-valid-url', nhấn Save, quan sát.</t>
  </si>
  <si>
    <t>URL_1='https://www.dolibarr.org', URL_2='invalid_url'</t>
  </si>
  <si>
    <t>URL_1 được lưu thành công và hiển thị dưới dạng link bấm được; URL_2 được hệ thống cảnh báo hoặc tự động thêm tiền tố http://.</t>
  </si>
  <si>
    <t>TC_SAL_028</t>
  </si>
  <si>
    <t>Sales &amp; Invoicing</t>
  </si>
  <si>
    <t>Báo giá thương mại -- Thêm dòng sản phẩm với số lượng lẻ/thập phân (Qty = 1.5)</t>
  </si>
  <si>
    <t>Thêm sản phẩm có số lượng thập phân vào báo giá và kiểm tra tính tiền</t>
  </si>
  <si>
    <t>Báo giá nháp tồn tại. Sản phẩm PR001 đơn giá 100.00 €, VAT 10%.</t>
  </si>
  <si>
    <t>1. Mở báo giá nháp.
2. Chọn sản phẩm PR001, nhập Qty = 1.5, Đơn giá = 100.00 €.
3. Nhấn Add.
4. Kiểm tra thành tiền dòng và tổng báo giá.</t>
  </si>
  <si>
    <t>Qty=1.5, UnitPrice=100.00 €, VAT=10%</t>
  </si>
  <si>
    <t>Thành tiền dòng HT = 150.00 € (1.5 * 100), VAT = 15.00 €, Tổng TTC = 165.00 €. Báo giá cập nhật chính xác.</t>
  </si>
  <si>
    <t>TC_SAL_029</t>
  </si>
  <si>
    <t>Báo giá thương mại -- Thay đổi thứ tự các dòng sản phẩm trong báo giá</t>
  </si>
  <si>
    <t>Sắp xếp lại thứ tự (Reorder) các dòng sản phẩm trong báo giá</t>
  </si>
  <si>
    <t>Báo giá có ít nhất 2 dòng sản phẩm (Dòng 1: PR001, Dòng 2: PR002).</t>
  </si>
  <si>
    <t>1. Mở trang báo giá nháp.
2. Sử dụng mũi tên lên/xuống (hoặc kéo thả) để đổi Dòng 2 lên trước Dòng 1.
3. Nhấn lưu thứ tự dòng.</t>
  </si>
  <si>
    <t>Lines: [PR001, PR002] -&gt; [PR002, PR001]</t>
  </si>
  <si>
    <t>Thứ tự hiển thị đổi thành PR002 trước, PR001 sau; tổng tiền báo giá không đổi.</t>
  </si>
  <si>
    <t>TC_SAL_030</t>
  </si>
  <si>
    <t>Báo giá thương mại -- Nhân bản báo giá hiện có (Clone proposal)</t>
  </si>
  <si>
    <t>Nhân bản báo giá đã có thành một báo giá nháp mới độc lập</t>
  </si>
  <si>
    <t>Báo giá gốc đã có 2 dòng sản phẩm với tổng tiền 330.00 €.</t>
  </si>
  <si>
    <t>1. Mở chi tiết báo giá gốc.
2. Nhấn nút Clone.
3. Chọn khách hàng nhận báo giá (giữ nguyên hoặc đổi), nhấn Clone.
4. Kiểm tra báo giá mới sinh ra.</t>
  </si>
  <si>
    <t>Action=Clone Proposal</t>
  </si>
  <si>
    <t>Hệ thống tạo báo giá nháp mới với mã mới; sao chép nguyên vẹn 2 dòng sản phẩm và tổng tiền 330.00 €; trạng thái là Draft.</t>
  </si>
  <si>
    <t>TC_SAL_031</t>
  </si>
  <si>
    <t>Báo giá thương mại -- Thêm dòng dịch vụ tự do (Free-text line)</t>
  </si>
  <si>
    <t>Thêm dòng sản phẩm/dịch vụ tự do không có sẵn trong danh mục kho</t>
  </si>
  <si>
    <t>Báo giá nháp đang mở.</t>
  </si>
  <si>
    <t>1. Tại form thêm dòng, chọn loại 'Free entry of type Service'.
2. Nhập Mô tả = 'Dịch vụ tư vấn triển khai', Đơn giá = 500.00 €, Qty = 1, VAT = 10%.
3. Nhấn Add.</t>
  </si>
  <si>
    <t>Type=Service, Desc='Dịch vụ tư vấn triển khai', Price=500.00 €, Qty=1, VAT=10%</t>
  </si>
  <si>
    <t>Dòng dịch vụ được thêm vào với HT = 500.00 €, VAT = 50.00 €, TTC = 550.00 €; không liên kết với kho hàng.</t>
  </si>
  <si>
    <t>TC_SAL_032</t>
  </si>
  <si>
    <t>Báo giá thương mại -- Đặt ngày hết hạn báo giá trong quá khứ so với ngày lập</t>
  </si>
  <si>
    <t>Kiểm tra tính hợp lệ của Ngày hết hạn báo giá (Validity duration)</t>
  </si>
  <si>
    <t>Form tạo báo giá mới, ngày lập là hôm nay.</t>
  </si>
  <si>
    <t>1. Nhập ngày lập báo giá: Ngày hiện tại.
2. Chọn ngày hết hiệu lực: Ngày trong quá khứ (hôm qua).
3. Nhấn Create draft, quan sát phản hồi.</t>
  </si>
  <si>
    <t>DateProposal=Today, ValidityDate=Yesterday</t>
  </si>
  <si>
    <t>Hệ thống hiển thị cảnh báo ngày hết hạn không được trước ngày lập HOẶC chấp nhận với trạng thái quá hạn (Expired).</t>
  </si>
  <si>
    <t>TC_SAL_033</t>
  </si>
  <si>
    <t>Báo giá thương mại -- Thay đổi điều kiện thanh toán (Payment term 30 days)</t>
  </si>
  <si>
    <t>Chọn điều kiện thanh toán trả chậm 30 ngày và kiểm tra hiển thị</t>
  </si>
  <si>
    <t>Báo giá nháp đang mở ở chế độ chỉnh sửa.</t>
  </si>
  <si>
    <t>1. Mở trang chỉnh sửa thông tin báo giá.
2. Tại ô 'Payment terms', chọn '30 days'.
3. Nhấn Save.</t>
  </si>
  <si>
    <t>PaymentTerms='30 days'</t>
  </si>
  <si>
    <t>Hệ thống lưu thành công; điều kiện thanh toán hiển thị rõ '30 days' trên giao diện và trong file PDF xuất ra.</t>
  </si>
  <si>
    <t>TC_SAL_034</t>
  </si>
  <si>
    <t>Hóa đơn bán hàng chuẩn -- Tạo hóa đơn chuẩn trực tiếp không qua báo giá</t>
  </si>
  <si>
    <t>Tạo hóa đơn bán hàng tiêu chuẩn trực tiếp (Direct Standard Invoice)</t>
  </si>
  <si>
    <t>Đã có khách hàng 'Cong ty ABC'.</t>
  </si>
  <si>
    <t>1. Vào Billing &gt; Invoices &gt; New invoice.
2. Chọn Khách hàng = 'Cong ty ABC', Loại = 'Standard invoice'.
3. Nhấn Create draft.
4. Thêm sản phẩm PR001, Qty = 2, Đơn giá = 100.00 €, VAT = 10%.
5. Nhấn Add.</t>
  </si>
  <si>
    <t>Customer='Cong ty ABC', Product='PR001', Qty=2, Price=100.00 €, VAT=10%</t>
  </si>
  <si>
    <t>Hóa đơn nháp được tạo thành công với Total HT = 200.00 €, VAT = 20.00 €, Total TTC = 220.00 €.</t>
  </si>
  <si>
    <t>TC_SAL_035</t>
  </si>
  <si>
    <t>Hóa đơn bán hàng chuẩn -- Cập nhật tài khoản ngân hàng nhận thanh toán</t>
  </si>
  <si>
    <t>Gán tài khoản ngân hàng thụ hưởng vào hóa đơn bán hàng</t>
  </si>
  <si>
    <t>Hóa đơn nháp tồn tại; hệ thống có sẵn ít nhất 1 tài khoản ngân hàng.</t>
  </si>
  <si>
    <t>1. Mở trang chi tiết hóa đơn nháp.
2. Nhấn Edit tại mục Bank account.
3. Chọn tài khoản ngân hàng mặc định của công ty, nhấn Save.</t>
  </si>
  <si>
    <t>BankAccount='Current Account'</t>
  </si>
  <si>
    <t>Hệ thống lưu thông tin tài khoản ngân hàng thụ hưởng; thông tin này xuất hiện trên chân trang hóa đơn và file PDF.</t>
  </si>
  <si>
    <t>TC_SAL_036</t>
  </si>
  <si>
    <t>Hóa đơn bán hàng chuẩn -- Áp dụng thuế suất VAT 0% (Hàng miễn thuế)</t>
  </si>
  <si>
    <t>Kiểm tra tính toán tiền hàng với thuế suất VAT 0% trên hóa đơn</t>
  </si>
  <si>
    <t>Hóa đơn nháp đang mở.</t>
  </si>
  <si>
    <t>1. Thêm dòng sản phẩm PR002, Qty = 1, Đơn giá = 200.00 €.
2. Chọn VAT rate = 0%.
3. Nhấn Add.
4. Kiểm tra bảng tổng kết tiền.</t>
  </si>
  <si>
    <t>Qty=1, Price=200.00 €, VAT=0%</t>
  </si>
  <si>
    <t>Total HT = 200.00 €, VAT = 0.00 €, Total TTC = 200.00 € (Total TTC bằng đúng Total HT).</t>
  </si>
  <si>
    <t>TC_SAL_037</t>
  </si>
  <si>
    <t>Hóa đơn bán hàng chuẩn -- Gửi email hóa đơn kèm file PDF đính kèm</t>
  </si>
  <si>
    <t>Khảo sát tính năng gửi email hóa đơn PDF cho khách hàng qua giao diện</t>
  </si>
  <si>
    <t>Hóa đơn đã được duyệt (Validate), đã tạo file PDF.</t>
  </si>
  <si>
    <t>1. Tại trang hóa đơn đã duyệt, nhấn nút 'Send email'.
2. Kiểm tra ô đính kèm có file PDF của hóa đơn hay không.
3. Nhập email nhận và nhấn Send (hoặc kiểm tra log gửi mail).</t>
  </si>
  <si>
    <t>EmailAction=Send invoice PDF</t>
  </si>
  <si>
    <t>Form gửi email tự động đính kèm file PDF hóa đơn; hệ thống ghi nhận sự kiện gửi trong lịch sử trao đổi của hóa đơn.</t>
  </si>
  <si>
    <t>TC_SAL_038</t>
  </si>
  <si>
    <t>Hóa đơn bán hàng chuẩn -- Nhân bản hóa đơn đã thanh toán thành hóa đơn nháp</t>
  </si>
  <si>
    <t>Nhân bản hóa đơn bán hàng cũ thành hóa đơn mới</t>
  </si>
  <si>
    <t>Hóa đơn cũ đã ở trạng thái Paid, có các dòng sản phẩm.</t>
  </si>
  <si>
    <t>1. Mở trang chi tiết hóa đơn cũ.
2. Nhấn nút Clone.
3. Giữ nguyên khách hàng, nhấn Clone.</t>
  </si>
  <si>
    <t>Action=Clone Invoice</t>
  </si>
  <si>
    <t>Hệ thống sinh hóa đơn mới với mã nháp (PROV...); sao chép đầy đủ các dòng sản phẩm và số tiền; trạng thái là Draft (Chưa duyệt).</t>
  </si>
  <si>
    <t>TC_SAL_039</t>
  </si>
  <si>
    <t>Hóa đơn đặc biệt -- Ghi nhận thanh toán vượt quá số tiền phải trả (Overpayment)</t>
  </si>
  <si>
    <t>Kiểm tra xử lý khi số tiền thanh toán lớn hơn số tiền còn lại của hóa đơn</t>
  </si>
  <si>
    <t>Hóa đơn đã duyệt, tổng tiền còn lại là 110.00 €.</t>
  </si>
  <si>
    <t>1. Nhấn nút 'Do payment'.
2. Nhập số tiền thanh toán = 120.00 € (lớn hơn 110.00 €).
3. Nhấn Save, quan sát phản hồi hệ thống.</t>
  </si>
  <si>
    <t>RemainingAmount=110.00 €, PaymentEntered=120.00 €</t>
  </si>
  <si>
    <t>Hệ thống từ chối cho phép thanh toán vượt số dư còn nợ, hoặc hiển thị cảnh báo không thể thanh toán vượt quá 110.00 €.</t>
  </si>
  <si>
    <t>TC_SAL_040</t>
  </si>
  <si>
    <t>Hóa đơn đặc biệt -- Xóa thanh toán để hóa đơn quay lại Chưa thanh toán</t>
  </si>
  <si>
    <t>Xóa giao dịch thanh toán và kiểm tra trạng thái hóa đơn hoàn lại Unpaid</t>
  </si>
  <si>
    <t>Hóa đơn đã thanh toán 100% (Status = Paid).</t>
  </si>
  <si>
    <t>1. Mở trang hóa đơn, chuyển vào tab Payments.
2. Tìm dòng thanh toán vừa tạo, nhấn biểu tượng thùng rác (Delete payment).
3. Xác nhận xóa.</t>
  </si>
  <si>
    <t>Action=Delete payment transaction</t>
  </si>
  <si>
    <t>Giao dịch thanh toán bị xóa; trạng thái hóa đơn lập tức quay trở lại 'Not paid / Unpaid'; số tiền còn nợ khôi phục lại 100%.</t>
  </si>
  <si>
    <t>TC_SAL_041</t>
  </si>
  <si>
    <t>Hóa đơn đặc biệt -- Tạo hóa đơn tiền cọc/tạm ứng (Deposit invoice)</t>
  </si>
  <si>
    <t>Tạo hóa đơn tiền đặt cọc (Deposit invoice) cho khách hàng</t>
  </si>
  <si>
    <t>Khách hàng 'Cong ty BCD' chuẩn bị ký hợp đồng lớn.</t>
  </si>
  <si>
    <t>1. Vào Tạo hóa đơn mới.
2. Chọn Loại hóa đơn = 'Deposit invoice'.
3. Nhập số tiền đặt cọc = 100.00 €, VAT = 10%.
4. Duyệt hóa đơn tiền cọc.</t>
  </si>
  <si>
    <t>InvoiceType='Deposit invoice', DepositAmount=100.00 €</t>
  </si>
  <si>
    <t>Hóa đơn tiền cọc được tạo và duyệt thành công; hệ thống tạo sẵn khoản tín dụng trả trước (Credit) để trừ vào hóa đơn chính thức sau này.</t>
  </si>
  <si>
    <t>TC_SAL_042</t>
  </si>
  <si>
    <t>Hóa đơn đặc biệt -- Khấu trừ tiền cọc từ hóa đơn tạm ứng vào hóa đơn cuối cùng</t>
  </si>
  <si>
    <t>Áp dụng khoản đặt cọc từ Deposit invoice để giảm trừ hóa đơn chính thức</t>
  </si>
  <si>
    <t>Đã có Deposit invoice 110.00 € (đã thanh toán). Hóa đơn chính thức là 550.00 €.</t>
  </si>
  <si>
    <t>1. Mở hóa đơn chính thức 550.00 € (trạng thái Chưa trả).
2. Tại mục 'Available credits', chọn khoản tiền cọc 110.00 € và nhấn 'Apply credit'.
3. Quan sát số tiền còn nợ.</t>
  </si>
  <si>
    <t>MainInvoice=550.00 €, CreditApplied=110.00 €</t>
  </si>
  <si>
    <t>Khoản tín dụng 110.00 € được khấu trừ; số tiền còn lại phải thanh toán giảm xuống chính xác 440.00 € (550.00 - 110.00).</t>
  </si>
  <si>
    <t>TC_STK_015</t>
  </si>
  <si>
    <t>Trừ kho tự động theo hóa đơn -- Hóa đơn nhiều dòng cùng 1 mã sản phẩm</t>
  </si>
  <si>
    <t>Kiểm tra trừ kho tổng dồn khi hóa đơn chứa nhiều dòng cùng mã sản phẩm PR001</t>
  </si>
  <si>
    <t>Tồn kho PR001 ban đầu = 50. Hóa đơn có Dòng 1 (PR001: 2 cái), Dòng 2 (PR001: 3 cái).</t>
  </si>
  <si>
    <t>1. Tạo hóa đơn với 2 dòng đều là PR001 (dòng 1: qty 2, dòng 2: qty 3).
2. Duyệt hóa đơn (Validate).
3. Kiểm tra biến động tồn kho trong MariaDB và UI.</t>
  </si>
  <si>
    <t>Line1: PR001 qty=2, Line2: PR001 qty=3. TotalQty=5</t>
  </si>
  <si>
    <t>Tổng xuất kho PR001 = 5 đơn vị; tồn kho mới PR001 giảm từ 50 xuống chính xác 45 đơn vị.</t>
  </si>
  <si>
    <t>TC_STK_016</t>
  </si>
  <si>
    <t>Trừ kho tự động theo hóa đơn -- Hóa đơn có sản phẩm dịch vụ không quản lý kho</t>
  </si>
  <si>
    <t>Xác nhận sản phẩm loại Dịch vụ (Service) không phát sinh trừ kho khi duyệt hóa đơn</t>
  </si>
  <si>
    <t>Hóa đơn gồm 1 sản phẩm hàng hóa PR001 (qty 1) và 1 dòng dịch vụ tư vấn (qty 1).</t>
  </si>
  <si>
    <t>1. Thêm PR001 (qty 1) và Dịch vụ tự do (qty 1) vào hóa đơn.
2. Duyệt hóa đơn.
3. Kiểm tra lịch sử biến động kho.</t>
  </si>
  <si>
    <t>Lines: [PR001 (Product), Service]</t>
  </si>
  <si>
    <t>Chỉ duy nhất PR001 bị trừ 1 đơn vị tồn kho; dòng dịch vụ hoàn toàn không tạo bản ghi nào trong bảng llx_stock_mouvement.</t>
  </si>
  <si>
    <t>TC_STK_017</t>
  </si>
  <si>
    <t>Trừ kho tự động theo hóa đơn -- Kiểm tra mã tham chiếu hóa đơn trong Stock movements</t>
  </si>
  <si>
    <t>Đối chiếu mã tham chiếu hóa đơn được ghi trong lịch sử biến động kho (Audit trail)</t>
  </si>
  <si>
    <t>Hóa đơn được duyệt có mã tham chiếu ví dụ 'IN2609-0005'.</t>
  </si>
  <si>
    <t>1. Duyệt hóa đơn có xuất hàng từ kho KHO001.
2. Vào Warehouses &gt; Stock movements.
3. Kiểm tra cột Inventory code / Origin document của dòng biến động vừa sinh.</t>
  </si>
  <si>
    <t>InvoiceRef='IN2609-0005'</t>
  </si>
  <si>
    <t>Cột Origin / Tham chiếu trong Stock movements chứa chính xác mã 'IN2609-0005', liên kết bấm được về trang hóa đơn.</t>
  </si>
  <si>
    <t>TC_STK_018</t>
  </si>
  <si>
    <t>Trừ kho tự động theo hóa đơn -- Hủy hóa đơn (Abandon) không tự động hoàn kho</t>
  </si>
  <si>
    <t>Kiểm tra nguyên tắc không tự động hoàn kho khi Hủy hóa đơn theo thiết kế Dolibarr</t>
  </si>
  <si>
    <t>Hóa đơn đã duyệt đã trừ 2 cái PR001 (tồn còn 48).</t>
  </si>
  <si>
    <t>1. Mở hóa đơn đã duyệt, nhấn nút 'Abandon / Cancel invoice'.
2. Xác nhận hủy hóa đơn.
3. Kiểm tra lại tồn kho PR001.</t>
  </si>
  <si>
    <t>InvoiceStatus: Unpaid -&gt; Abandoned</t>
  </si>
  <si>
    <t>Tồn kho PR001 vẫn giữ nguyên 48 (Dolibarr quy định chỉ hoàn kho qua Credit note, hủy hóa đơn không tự cộng lại kho để bảo đảm kiểm toán).</t>
  </si>
  <si>
    <t>TC_STK_019</t>
  </si>
  <si>
    <t>Hiệu chỉnh tồn kho thủ công -- Nhập giá mua đơn vị PMP khi nhập kho</t>
  </si>
  <si>
    <t>Hiệu chỉnh nhập kho thủ công có kèm đơn giá mua và kiểm tra PMP</t>
  </si>
  <si>
    <t>Sản phẩm PR002 có tồn ban đầu 30 cái, PMP hiện tại = 100.00 €.</t>
  </si>
  <si>
    <t>1. Mở trang Stock của PR002, nhấn Correct stock.
2. Chọn Add 10 cái, nhập Unit purchase price = 120.00 €.
3. Nhấn Save.
4. Kiểm tra PMP mới tính toán.</t>
  </si>
  <si>
    <t>OldStock=30 (100€), Add=10 (120€). NewStock=40</t>
  </si>
  <si>
    <t>Tồn mới = 40 đơn vị; Giá trị vốn PMP mới = 105.00 € ((30*100 + 10*120)/40); biến động kho lưu đơn giá 120.00 €.</t>
  </si>
  <si>
    <t>TC_STK_020</t>
  </si>
  <si>
    <t>Hiệu chỉnh tồn kho thủ công -- Xuất kho với số lượng lớn hơn tồn thực tế</t>
  </si>
  <si>
    <t>Khảo sát thao tác xuất kho vượt quá số lượng tồn thực tế (Negative stock check)</t>
  </si>
  <si>
    <t>PR003 có tồn kho thực tế = 40. Tùy chọn cho phép tồn âm đang tắt.</t>
  </si>
  <si>
    <t>1. Mở Correct stock của PR003.
2. Chọn thao tác Remove, nhập số lượng = 45 (&gt; 40).
3. Nhấn Save, quan sát phản hồi hệ thống.</t>
  </si>
  <si>
    <t>CurrentStock=40, RemoveQty=45</t>
  </si>
  <si>
    <t>Hệ thống từ chối lưu hoặc cảnh báo số lượng xuất vượt tồn thực tế (ghi nhận hành vi cấu hình rule stock âm của Dolibarr).</t>
  </si>
  <si>
    <t>TC_STK_021</t>
  </si>
  <si>
    <t>Hiệu chỉnh tồn kho thủ công -- Nhập ghi chú bắt buộc trong lý do điều chỉnh kho</t>
  </si>
  <si>
    <t>Nhập lý do điều chỉnh (Inventory label) khi thực hiện hiệu chỉnh kho</t>
  </si>
  <si>
    <t>Trang Correct stock của PR001.</t>
  </si>
  <si>
    <t>1. Thực hiện Add 2 cái PR001.
2. Nhập ô 'Inventory code / Label' = 'KIEM_KE_DINH_KY_THANG_10'.
3. Nhấn Save.
4. Kiểm tra bảng Stock movements.</t>
  </si>
  <si>
    <t>InventoryCode='KIEM_KE_DINH_KY_THANG_10', Qty=2</t>
  </si>
  <si>
    <t>Dòng biến động kho hiển thị chính xác nhãn 'KIEM_KE_DINH_KY_THANG_10' tại cột Label.</t>
  </si>
  <si>
    <t>TC_STK_022</t>
  </si>
  <si>
    <t>Hiệu chỉnh tồn kho thủ công -- Chuyển kho nội bộ giữa KHO001 và kho phụ</t>
  </si>
  <si>
    <t>Thực hiện điều chuyển kho nội bộ (Internal Stock Transfer)</t>
  </si>
  <si>
    <t>Hệ thống có kho nguồn KHO001 (tồn PR001 = 50) và kho đích KHO002.</t>
  </si>
  <si>
    <t>1. Mở trang Transfer stock của PR001.
2. Chọn kho nguồn = KHO001, kho đích = KHO002, số lượng = 5.
3. Nhấn Transfer.</t>
  </si>
  <si>
    <t>Source=KHO001, Target=KHO002, Qty=5</t>
  </si>
  <si>
    <t>Tồn kho KHO001 giảm 5 (còn 45); tồn kho KHO002 tăng 5; lịch sử ghi nhận 2 dòng biến động (-5 kho nguồn, +5 kho đích).</t>
  </si>
  <si>
    <t>TC_STK_023</t>
  </si>
  <si>
    <t>Cảnh báo tồn kho tối thiểu -- Đặt ngưỡng cảnh báo tồn kho = 0</t>
  </si>
  <si>
    <t>Thiết lập ngưỡng cảnh báo tồn kho tối thiểu bằng 0 (Chỉ cảnh báo khi hết hàng)</t>
  </si>
  <si>
    <t>Sản phẩm PR004 đang có tồn = 89.</t>
  </si>
  <si>
    <t>1. Vào chỉnh sửa sản phẩm PR004.
2. Đặt Stock limit for alert = 0.
3. Nhấn Save.
4. Kiểm tra trang cảnh báo tồn kho Replenishment.</t>
  </si>
  <si>
    <t>AlertLimit=0, CurrentStock=89</t>
  </si>
  <si>
    <t>Lưu thành công; sản phẩm PR004 không nằm trong danh sách cần bổ sung hàng (vì 89 &gt; 0).</t>
  </si>
  <si>
    <t>TC_STK_024</t>
  </si>
  <si>
    <t>Cảnh báo tồn kho tối thiểu -- Đặt ngưỡng cảnh báo tồn kho số âm</t>
  </si>
  <si>
    <t>Kiểm tra xử lý khi người dùng nhập số âm vào ô ngưỡng cảnh báo tồn kho</t>
  </si>
  <si>
    <t>Trang chỉnh sửa sản phẩm PR001.</t>
  </si>
  <si>
    <t>1. Nhập Stock limit for alert = -5.
2. Nhấn Save, quan sát phản hồi hệ thống.</t>
  </si>
  <si>
    <t>AlertLimit=-5</t>
  </si>
  <si>
    <t>Hệ thống chặn không cho lưu số âm hoặc tự động reset về 0/báo lỗi giá trị ngưỡng không hợp lệ.</t>
  </si>
  <si>
    <t>TC_STK_025</t>
  </si>
  <si>
    <t>Cảnh báo tồn kho tối thiểu -- Xuất file danh sách sản phẩm cần nhập hàng</t>
  </si>
  <si>
    <t>Xuất dữ liệu danh sách sản phẩm dưới ngưỡng cảnh báo (Replenishment export)</t>
  </si>
  <si>
    <t>Có ít nhất 1 sản phẩm đang dưới ngưỡng cảnh báo (ví dụ PR003).</t>
  </si>
  <si>
    <t>1. Vào Products &gt; Stocks &gt; Replenishment.
2. Nhấn biểu tượng xuất Excel / CSV tại danh sách.
3. Mở file xuất kiểm tra dữ liệu.</t>
  </si>
  <si>
    <t>Action=Export Replenishment list</t>
  </si>
  <si>
    <t>File xuất ra chứa đúng danh sách sản phẩm dưới ngưỡng cùng số lượng tồn hiện tại và số lượng chênh lệch cần nhập thêm.</t>
  </si>
  <si>
    <t>TC_STK_026</t>
  </si>
  <si>
    <t>Cảnh báo tồn kho tối thiểu -- Gửi thông báo cảnh báo tồn kho qua email</t>
  </si>
  <si>
    <t>Khảo sát tính năng thông báo email khi tồn kho chạm ngưỡng cảnh báo</t>
  </si>
  <si>
    <t>Cấu hình thông báo cảnh báo kho được bật trong Setup &gt; Modules &gt; Stock.</t>
  </si>
  <si>
    <t>1. Giảm tồn kho PR003 xuống dưới ngưỡng 10.
2. Chạy cronjob hoặc kiểm tra hàng đợi gửi mail của Dolibarr.
3. Quan sát bản ghi thông báo.</t>
  </si>
  <si>
    <t>Stock=8 (&lt;10)</t>
  </si>
  <si>
    <t>Hệ thống tạo thông báo nội bộ hoặc ghi nhận sự kiện cảnh báo bổ sung hàng cho người quản lý kho.</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</si>
  <si>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</si>
  <si>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</si>
  <si>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</si>
  <si>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</si>
  <si>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</si>
  <si>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</si>
  <si>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</si>
  <si>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</si>
  <si>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</si>
  <si>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</si>
  <si>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</si>
  <si>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</si>
  <si>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</si>
  <si>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</si>
  <si>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</si>
  <si>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</si>
  <si>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</si>
  <si>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</si>
  <si>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</si>
  <si>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</si>
  <si>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</si>
  <si>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</si>
  <si>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</si>
  <si>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</si>
  <si>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</si>
  <si>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</si>
  <si>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</si>
  <si>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</si>
  <si>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</si>
  <si>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</si>
  <si>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</si>
  <si>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</si>
  <si>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</si>
  <si>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</si>
  <si>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</si>
  <si>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</si>
  <si>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</si>
  <si>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</si>
  <si>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</si>
  <si>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</si>
  <si>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</si>
  <si>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</si>
  <si>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</si>
  <si>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</si>
  <si>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</si>
  <si>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</si>
  <si>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</si>
  <si>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</si>
  <si>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</si>
  <si>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</si>
  <si>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</si>
  <si>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</si>
  <si>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</si>
  <si>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</si>
  <si>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</si>
  <si>
    <t>DỮ LIỆU KIỂM THỬ THỦ CÔNG — HÓA ĐƠN ĐẶC BIỆT (MANUAL TEST DATA — SPECIAL INVOICES)</t>
  </si>
  <si>
    <t>InvoiceContext</t>
  </si>
  <si>
    <t>InputData_1</t>
  </si>
  <si>
    <t>InputData_2</t>
  </si>
  <si>
    <t>ExpectedResult_1</t>
  </si>
  <si>
    <t>ExpectedResult_2</t>
  </si>
  <si>
    <t>Hóa đơn Not paid (Cong ty ABC, 110.00 €)</t>
  </si>
  <si>
    <t>Action=Cancel/Abandon</t>
  </si>
  <si>
    <t>Reason="Khach hang doi y huy don"</t>
  </si>
  <si>
    <t>Status="Canceled" / "Abandoned"</t>
  </si>
  <si>
    <t>RemainsToPay=0.00 €; Nút Enter payment bị ẩn</t>
  </si>
  <si>
    <t>Hóa đơn gốc Validated/Paid (Cong ty ABC, 110.00 €)</t>
  </si>
  <si>
    <t>Action=Create credit note</t>
  </si>
  <si>
    <t>Product=PR001, Qty=1, UnitPrice=100 €</t>
  </si>
  <si>
    <t>Ref="AV...", Status="Not paid"</t>
  </si>
  <si>
    <t>Total HT=-100.00 €, VAT=-10.00 €, Total TTC=-110.00 €</t>
  </si>
  <si>
    <t>Hóa đơn Not paid (Cong ty ABC, Total TTC=220.00 €)</t>
  </si>
  <si>
    <t>Action=Enter payment</t>
  </si>
  <si>
    <t>PaidAmount=100.00 €, Mode="Cash"</t>
  </si>
  <si>
    <t>Status="Started" (Partially paid)</t>
  </si>
  <si>
    <t>AlreadyPaid=100.00 €, RemainsToPay=120.00 €</t>
  </si>
  <si>
    <t>Hóa đơn Started (Cong ty ABC, Remains=120.00 €)</t>
  </si>
  <si>
    <t>PaidAmount=120.00 €, Mode="Cash"</t>
  </si>
  <si>
    <t>Status="Paid" (Đã trả đủ)</t>
  </si>
  <si>
    <t>AlreadyPaid=220.00 €, RemainsToPay=0.00 €</t>
  </si>
  <si>
    <t>DỮ LIỆU KIỂM THỬ THỦ CÔNG — QUẢN LÝ TỒN KHO (MANUAL TEST DATA — STOCK MANAGEMENT)</t>
  </si>
  <si>
    <t>AdjustmentAction_Qty</t>
  </si>
  <si>
    <t>ExpectedResult</t>
  </si>
  <si>
    <t>Thao tác Add: +10 (Kiem ke thua)</t>
  </si>
  <si>
    <t>Tồn mới = 40; Biến động +10 trong Stock movements</t>
  </si>
  <si>
    <t>Thao tác Remove: -5 (Hang hu hong)</t>
  </si>
  <si>
    <t>Tồn mới = 35; Biến động -5 trong Stock movements</t>
  </si>
  <si>
    <t>Thao tác Remove: -100 (Vượt biên 11 cái)</t>
  </si>
  <si>
    <t>Chặn lưu (nếu cấm âm) HOẶC Tồn = -11 (báo đỏ nếu cho phép âm)</t>
  </si>
  <si>
    <t>Limit=10, Desired=50; Remove: -32 (Tồn còn 8)</t>
  </si>
  <si>
    <t>Tồn = 8 (&lt; 10); Hiện cảnh báo tam giác vàng; Replenish đề xuất 42</t>
  </si>
  <si>
    <t>DỮ LIỆU KIỂM THỬ THỦ CÔNG — BỔ SUNG SAU REVIEW 08/10/2026 (HÓA ĐƠN)</t>
  </si>
  <si>
    <t>Hóa đơn Started (Cong ty ABC, AlreadyPaid=100.00€, Remains=120.00€)</t>
  </si>
  <si>
    <t>Action=Cancel/Abandon (thử trên hóa đơn đã có thanh toán)</t>
  </si>
  <si>
    <t>-</t>
  </si>
  <si>
    <t>Nút Cancel bị ẩn HOẶC hệ thống từ chối</t>
  </si>
  <si>
    <t>Trạng thái KHÔNG chuyển Canceled nếu còn thanh toán</t>
  </si>
  <si>
    <t>Hóa đơn Started (Cong ty ABC, Remains=120.00€)</t>
  </si>
  <si>
    <t>PaidAmount=150.00€ (vượt biên +30.00€)</t>
  </si>
  <si>
    <t>Từ chối lưu, Remains giữ 120.00€ HOẶC</t>
  </si>
  <si>
    <t>Paid + Credit/Excess 30.00€ ghi nhận cho khách hàng</t>
  </si>
  <si>
    <t>DỮ LIỆU KIỂM THỬ THỦ CÔNG — BỔ SUNG SAU REVIEW 08/10/2026 (TỒN KHO)</t>
  </si>
  <si>
    <t>Thao tác Remove: -40 (đúng = tồn hiện có)</t>
  </si>
  <si>
    <t>Tồn mới = 0; Lưu thành công KHÔNG báo lỗi; Biến động -40 trong Stock movements</t>
  </si>
  <si>
    <t>Thao tác Remove: -90 (vượt biên đúng +1)</t>
  </si>
  <si>
    <t>Chặn lưu tại 90 (nếu cấm âm) HOẶC Tồn = -1 (báo đỏ nếu cho phép âm)</t>
  </si>
  <si>
    <t>Limit=10, Desired=50; Remove: -30 (Tồn còn 10 = đúng ngưỡng)</t>
  </si>
  <si>
    <t>Tồn = 10 (= ngưỡng); xác định toán tử &lt; hay &lt;= qua kết quả cảnh báo/Replenishment thực tế</t>
  </si>
  <si>
    <t>DỮ LIỆU BỔ SUNG — ĐỢT MỞ RỘNG ĐÀO SÂU 25 TEST CASES (08/10/2026)</t>
  </si>
  <si>
    <t>Context</t>
  </si>
  <si>
    <t>TestDataInput</t>
  </si>
  <si>
    <t>ExpectedBehaviorSummary</t>
  </si>
  <si>
    <t>Hệ thống từ chối lưu hoặc hiển thị cảnh báo định dạng Email không hợp lệ cho cả 2 giá trị; nếu Dolib...</t>
  </si>
  <si>
    <t>Field Email chưa được test ở các case 005-016 (chỉ test field Tên). Bổ sung đào sâu CRM.</t>
  </si>
  <si>
    <t>Lưu thành công; trang chi tiết hiển thị đúng Email vừa nhập -- đối chứng happy-path cho field Email,...</t>
  </si>
  <si>
    <t>Case đối chứng (positive partition) cho TC_CRM_017.</t>
  </si>
  <si>
    <t>Lưu thành công, trang chi tiết hiển thị đúng SĐT "0912345678" (10 chữ số, không bị cắt/đổi định dạng...</t>
  </si>
  <si>
    <t>Ghi nhận hành vi thực tế quan sát được: Dolibarr mặc định để field Phone dạng free-text nên CÓ THỂ l...</t>
  </si>
  <si>
    <t>Hệ thống CHẶN xóa và hiển thị lỗi ràng buộc dữ liệu (ví dụ "Can not delete, this thirdparty has invo...</t>
  </si>
  <si>
    <t>Kiểm tra ràng buộc toàn vẹn dữ liệu quan hệ Foreign Key khi xóa khách hàng.</t>
  </si>
  <si>
    <t>Ghi nhận hành vi thực tế: Dolibarr mặc định KHÔNG ràng buộc UNIQUE trên tên, nên hệ thống cho phép l...</t>
  </si>
  <si>
    <t>Kết quả tìm kiếm trả về đúng khách hàng "Cong ty ABC" (case-insensitive search hoạt động đúng, hành ...</t>
  </si>
  <si>
    <t>Case-insensitive search testing.</t>
  </si>
  <si>
    <t>Hệ thống KHÔNG trả về toàn bộ danh sách khách hàng (dấu hiệu injection thành công) và KHÔNG phát sin...</t>
  </si>
  <si>
    <t>Hóa đơn Draft bị XÓA HẲN khỏi hệ thống (khác với hủy hóa đơn Validated ở TC_SAL_009, nơi hóa đơn chỉ...</t>
  </si>
  <si>
    <t>Hóa đơn hoàn tiền ghi nhận: Total HT=-200.00 €, VAT=-20.00 €, Total TTC=-220.00 € (đúng một nửa giá ...</t>
  </si>
  <si>
    <t>Hệ thống từ chối lưu giao dịch thanh toán 0 € (biên dưới không hợp lệ), hiển thị lỗi dạng "Amount mu...</t>
  </si>
  <si>
    <t>BVA biên dưới không hợp lệ Amount = 0.</t>
  </si>
  <si>
    <t>Hệ thống từ chối lưu (biên dưới không hợp lệ, giá trị âm), hiển thị lỗi validation; KHÔNG phát sinh ...</t>
  </si>
  <si>
    <t>BVA biên dưới âm Amount &lt; 0.</t>
  </si>
  <si>
    <t>Giao dịch ghi nhận đúng PaymentMode="Bank transfer"; trạng thái hóa đơn chuyển "Paid"; Already paid=...</t>
  </si>
  <si>
    <t>Hệ thống CHẶN Validate, hiển thị lỗi dạng "Cannot validate an invoice with no line" hoặc tương đương...</t>
  </si>
  <si>
    <t>Negative test: chặn xác thực hóa đơn rỗng.</t>
  </si>
  <si>
    <t>Credit note phản ánh ĐÚNG giá trị SAU chiết khấu ở dạng âm: Total HT=-180.00 €, VAT=-18.00 €, Total ...</t>
  </si>
  <si>
    <t>Ghi nhận hành vi thực tế: (a) hệ thống chặn/ẩn nút "Create credit note" vì hóa đơn gốc đã được hoàn ...</t>
  </si>
  <si>
    <t>PDF xuất ra hiển thị rõ nhãn/watermark trạng thái hủy (ví dụ "CANCELED"/"ANNULÉE" hoặc badge tương đ...</t>
  </si>
  <si>
    <t>Thời gian xử lý ≤ 5 giây (ngưỡng tham khảo nhóm tự đặt do đề bài không quy định SLA chính thức) -- g...</t>
  </si>
  <si>
    <t>Hệ thống từ chối lưu hoặc tự động chặn nhập ký tự không phải số ngay tại ô input (validation HTML5 t...</t>
  </si>
  <si>
    <t>Ghi nhận hành vi thực tế: hệ thống từ chối (vì thao tác Add theo thiết kế UI chỉ nhận số dương) HOẶC...</t>
  </si>
  <si>
    <t>Hệ thống KHÔNG tạo dòng biến động mới có ý nghĩa trong Stock movements (hoặc tạo dòng "+0" vô nghĩa ...</t>
  </si>
  <si>
    <t>BVA điểm biên số lượng = 0.</t>
  </si>
  <si>
    <t>Tồn kho PR003 = 13 đơn vị (8+5); biểu tượng cảnh báo tam giác vàng BIẾN MẤT khỏi trang chi tiết và d...</t>
  </si>
  <si>
    <t>Hệ thống hiển thị rõ ràng số lượng tồn = 0 (không để trống gây nhầm lẫn), có thể kèm biểu tượng/màu ...</t>
  </si>
  <si>
    <t>Khảo sát 1 trong 2 hành vi: (a) Hệ thống tính lại tồn tại thời điểm Save (không dùng giá trị đã đọc ...</t>
  </si>
  <si>
    <t>Thời gian tải trang &lt;= 3 giây (ngưỡng tham khảo tự đặt) -- ghi nhận số liệu thực tế đo bằng Stopwatc...</t>
  </si>
  <si>
    <t>Đo thời gian phản hồi trang cảnh báo thiếu hàng.</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</si>
  <si>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</si>
  <si>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</si>
  <si>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</si>
  <si>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</si>
  <si>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</si>
  <si>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</si>
  <si>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</si>
  <si>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</si>
  <si>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</si>
  <si>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</si>
  <si>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</si>
  <si>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</si>
  <si>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</si>
  <si>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</si>
  <si>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</si>
  <si>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</si>
  <si>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</si>
  <si>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</si>
  <si>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</si>
  <si>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</si>
  <si>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</si>
  <si>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</si>
  <si>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</si>
  <si>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</si>
  <si>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</si>
  <si>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</si>
  <si>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</si>
  <si>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</si>
  <si>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</si>
  <si>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</si>
  <si>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</si>
  <si>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</si>
  <si>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</si>
  <si>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</si>
  <si>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</si>
  <si>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</si>
  <si>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</si>
  <si>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</si>
  <si>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</si>
  <si>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</si>
  <si>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</si>
  <si>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</si>
  <si>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</si>
  <si>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</si>
  <si>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</si>
  <si>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</si>
  <si>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</si>
  <si>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</si>
  <si>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</si>
  <si>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</si>
  <si>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</si>
  <si>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</si>
  <si>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</si>
  <si>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</si>
  <si>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</si>
  <si>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</si>
  <si>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</si>
  <si>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</si>
  <si>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</si>
  <si>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</si>
  <si>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</si>
  <si>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</si>
  <si>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</si>
  <si>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</si>
  <si>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</si>
  <si>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</si>
  <si>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</si>
  <si>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</si>
  <si>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</si>
  <si>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</si>
  <si>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</si>
  <si>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</si>
  <si>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</si>
  <si>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</si>
  <si>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</si>
  <si>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</si>
  <si>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</si>
  <si>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</si>
  <si>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</si>
  <si>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</si>
  <si>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</si>
  <si>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</si>
  <si>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</si>
  <si>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</si>
  <si>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</si>
  <si>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</si>
  <si>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</si>
  <si>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</si>
  <si>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</si>
  <si>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</si>
  <si>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</si>
  <si>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</si>
  <si>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</si>
  <si>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</si>
  <si>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</si>
  <si>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</si>
  <si>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</si>
  <si>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</si>
  <si>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</si>
  <si>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</si>
  <si>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</si>
  <si>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</si>
  <si>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</si>
  <si>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</si>
  <si>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</si>
  <si>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</si>
  <si>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</si>
  <si>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</si>
  <si>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</si>
  <si>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</si>
  <si>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</si>
  <si>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</si>
  <si>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</si>
  <si>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</si>
  <si>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</si>
  <si>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</si>
  <si>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</si>
  <si>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</si>
  <si>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</si>
  <si>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</si>
  <si>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</si>
  <si>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</si>
  <si>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</si>
  <si>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</si>
  <si>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</si>
  <si>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</si>
  <si>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</si>
  <si>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</si>
  <si>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</si>
  <si>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</si>
  <si>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</si>
  <si>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</si>
  <si>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</si>
  <si>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</si>
  <si>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</si>
  <si>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</si>
  <si>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</si>
  <si>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</si>
  <si>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</si>
  <si>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</si>
  <si>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</si>
  <si>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</si>
  <si>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</si>
  <si>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</si>
  <si>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</si>
  <si>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</si>
  <si>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</si>
  <si>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</si>
  <si>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</si>
  <si>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</si>
  <si>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Thiết kế / Lập trình / Kiểm tra chất lượng</t>
  </si>
  <si>
    <t>Mở rộng bộ kiểm thử tự động Sales &amp; Invoicing với 3 ca mới (TC_SAL_013, TC_SAL_014, TC_SAL_015) theo yêu cầu người dùng, đảm bảo assert số học cụ thể, luồng nghiệp vụ Refused và Thanh toán 100%.</t>
  </si>
  <si>
    <t>Người dùng đồng ý triển khai 3 test case tự động mới: chiết khấu %, đóng báo giá Refused không cho tạo hóa đơn, thanh toán hóa đơn 100% chuyển sang Paid.</t>
  </si>
  <si>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</si>
  <si>
    <t>Người dùng phê duyệt triển khai 3 ca kiểm thử mở rộng cho nghiệp vụ Bán hàng và yêu cầu duy trì tính trung thực số liệu, kiểm chứng mốc sạch trước và sau khi chạy.</t>
  </si>
  <si>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</si>
  <si>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</si>
  <si>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</si>
  <si>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</si>
  <si>
    <t>Người dùng định hướng chuẩn hóa chuyên sâu cho 8 ca Manual thay vì mở rộng dàn trải, yêu cầu kiểm chứng số học và assert định lượng.</t>
  </si>
  <si>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</si>
  <si>
    <t>Kiểm tra chất lượng / Thiết kế bổ sung</t>
  </si>
  <si>
    <t>Claude (Sonnet, claude.ai)</t>
  </si>
  <si>
    <t>Review kỹ thuật 8 ca Manual (TC_SAL_009..012, TC_STK_001..004): soi BVA/EP/ST, tính định lượng Assert, đối chiếu dữ liệu nền với AI Log và tài liệu tiến độ; bổ sung Bước 0 và 5 ca mới sau review.</t>
  </si>
  <si>
    <t>Người dùng yêu cầu review độc lập bản 8 ca tự thiết kế (so với BVA/EP/ST chuẩn, assert định lượng, biên còn thiếu) và đối chiếu với log AI trước đó, sau đó viết bổ sung trực tiếp vào Excel.</t>
  </si>
  <si>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</si>
  <si>
    <t>Người dùng yêu cầu review độc lập trước khi tự tay chạy nghiệm thu, nhằm tránh sửa đi sửa lại sau khi đã có Actual.</t>
  </si>
  <si>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</si>
  <si>
    <t>Thiết kế / Kiểm tra chất lượng</t>
  </si>
  <si>
    <t>Mở rộng bộ kiểm thử đợt 2 theo kịch bản người dùng cung cấp: bổ sung 25 ca kiểm thử đa dạng (12 Automation + 13 Manual) bao quát kiểm thử biên BVA, phân vùng EP, Negative validation, Bảo mật SQLi, Tương tranh Concurrency và Hiệu năng.</t>
  </si>
  <si>
    <t>Người dùng cung cấp script mở rộng 25 ca kiểm thử mới (TC_CRM_017..024, TC_SAL_018..027, TC_STK_008..014) và yêu cầu mở rộng cả automation test và manual test.</t>
  </si>
  <si>
    <t>Thêm đầy đủ 25 ca mới vào sheet Test Cases (tổng cộng 61 TC); cập nhật 25 dòng vào Traceability; bổ sung dữ liệu vào Test Data; cập nhật AI Log STT 21; bảo toàn 100% kết quả cũ (22 Pass, 1 Fail, 38 Not Run); chạy recalculate_excel.ps1 thành công.</t>
  </si>
  <si>
    <t>Người dùng tự thiết kế kịch bản mở rộng đào sâu 25 ca kiểm thử cho cả Automation và Manual, yêu cầu tích hợp trực tiếp vào Excel.</t>
  </si>
  <si>
    <t>Mở rộng kiểm thử sang các khía cạnh phi chức năng (bảo mật, tương tranh, hiệu năng) và các trường thông tin phụ (email, phone, case-insensitive) giúp đồ án đạt chiều sâu kỹ thuật xuất sắc theo chuẩn rubric 6 tín chỉ.</t>
  </si>
  <si>
    <t>Mở rộng toàn diện bộ test case đồ án lên đúng 100 test case (bổ sung 39 test case đợt 3: CRM 025..036, SAL 028..042, STK 015..026) theo yêu cầu người dùng.</t>
  </si>
  <si>
    <t>mở rộng lên 100 cái đi rồi chạy lại kiểm tra cho mình</t>
  </si>
  <si>
    <t>Sinh và chuẩn hóa 39 ca kiểm thử mới bám sát 10 Function ID của 3 Use Case, áp dụng chuẩn BVA/EP/ST/DT/EG với assert số học định lượng; cập nhật đồng bộ sheet Test Cases, Traceability, Test Data, Summary.</t>
  </si>
  <si>
    <t>Người dùng yêu cầu mở rộng quy mô đồ án lên 100 ca để hoàn thiện báo cáo và kiểm thử toàn diện.</t>
  </si>
  <si>
    <t>Bộ test suite đạt quy mô 100 ca với cấu trúc phân bổ cân đối (CRM: 32, Sales: 41, Stock: 27; 56 Auto / 44 Manual), đáp ứng xuất sắc tiêu chí chấm Core và Mở rộng.</t>
  </si>
  <si>
    <t>Kiểm tra chất lượng / Automation Execution</t>
  </si>
  <si>
    <t>Antigravity Agent (Gemini 3.8 Flash)</t>
  </si>
  <si>
    <t>Thực nghiệm kiểm chứng độc lập 3 test case TC_CRM_019 (SĐT 10 số), TC_CRM_020 (SĐT chứa chữ cái), TC_CRM_022 (trùng tên đối tác) trên Dolibarr local và cập nhật trạng thái Not Run -&gt; Pass.</t>
  </si>
  <si>
    <t>Yêu cầu agent tự động thực thi 3 test case (TC_CRM_019, 020, 022) trên SUT thật thay vì chỉ suy luận lý thuyết.</t>
  </si>
  <si>
    <t>Xây dựng test automation C# CrmQuickVerificationTests, thực thi tự động qua Selenium WebDriver trên Dolibarr 22.0.4 local (localhost/dolibarr). Cả 3/3 ca kiểm thử đều PASS (xác nhận đúng hành vi thực tế của SUT: nhận đủ 10 số, lưu free-text và cho phép tạo bản ghi trùng tên). Đã phục hồi baseline DB mốc sạch và cập nhật kết quả vào Excel.</t>
  </si>
  <si>
    <t>Đúng (phản ánh 100% trung thực kết quả chạy thật trên SUT)</t>
  </si>
  <si>
    <t>Người dùng yêu cầu agent tự chạy thực nghiệm thay vì chỉ suy đoán lý thuyết.</t>
  </si>
  <si>
    <t>Tuyệt đối tuân thủ quy tắc không bịa kết quả kiểm thử. Khi thực nghiệm trên SUT thật, thu thập log/actual result minh bạch rồi mới chuyển trạng thái Not Run sang Pass.</t>
  </si>
  <si>
    <t>Lập trình / Kiểm tra chất lượng</t>
  </si>
  <si>
    <t>Phát triển và thực thi trọn vẹn 9 test case Automation mở rộng đợt 2 (CRM 017, 018, 021, 023; SAL 020, 021, 023; STK 010, 014)</t>
  </si>
  <si>
    <t>Viết code Automation C# Selenium theo POM cho 9 TC đợt 2, tuân thủ không Thread.Sleep, assert cụ thể, chạy thực tế ghi log thật</t>
  </si>
  <si>
    <t>Tạo class Batch2ExtendedTests.cs, mở rộng CustomerCreatePage, CustomerDetailPage, InvoiceDetailPage, WarehouseStockPage. Chạy thực tế đạt 8/9 Pass, 1 Skipped/Inconclusive (TC_STK_014 thiếu precondition &lt; 3 sp cảnh báo)</t>
  </si>
  <si>
    <t>Phải sửa (Sửa click intercepted checkbox customer, điền Invoice Date bắt buộc trên Direct Invoice, và chuẩn hóa assert chặn xóa foreign key qua thông báo lỗi)</t>
  </si>
  <si>
    <t>Yêu cầu kiểm tra code trước khi chạy, không sửa baseline bằng SQL, tuân thủ đúng kết quả chạy thật và phân tích nguyên nhân lỗi kỹ thuật</t>
  </si>
  <si>
    <t>Dolibarr yêu cầu bắt buộc trường Invoice Date khi tạo hóa đơn trực tiếp; checkbox form Dolibarr dễ bị thanh menu che cần scrollIntoView; kiểm tra chặn xóa quan hệ Foreign Key cần đọc thông báo lỗi từ hệ thống</t>
  </si>
  <si>
    <t>Chuẩn hóa kiểm tra thông báo lỗi cụ thể cho TC_SAL_023 (chặn Validate hóa đơn rỗng) và xác thực số liệu TC_STK_010, cập nhật ExtentReports</t>
  </si>
  <si>
    <t>Sửa test để kiểm tra thêm thông báo lỗi nếu Dolibarr có hiển thị cho TC_SAL_023, chạy lại kiểm tra và cập nhật repo</t>
  </si>
  <si>
    <t>Cập nhật TC_SAL_023 gửi xác nhận validate và assert thông báo lỗi chính thức từ Dolibarr: "Object (PROV...) must have lines to be validated.", đồng thời kiểm tra nút Validate không khả dụng và giữ nguyên mã PROV. Xác nhận số liệu thực tế TC_STK_010: tồn 39 -&gt; 39, biến động 0 dòng, lỗi "Field Number of units is required". Báo cáo ExtentReports tự động cập nhật 9 ca (8 Pass, 1 Skipped).</t>
  </si>
  <si>
    <t>Người dùng chọn phương án sửa test kiểm tra thông báo lỗi cụ thể thay vì sửa Expected trong Excel; yêu cầu chạy lại và commit lên repo.</t>
  </si>
  <si>
    <t>Dolibarr 22.0.4 vừa ẩn nút Validate trên UI đối với hóa đơn chưa có dòng sản phẩm, vừa chặn ở tầng server và trả về thông báo lỗi "Object (...) must have lines to be validated" khi có yêu cầu validate. Kiểm tra cả hai lớp giúp test case đạt độ tin cậy tối đa.</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</si>
  <si>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</si>
  <si>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</si>
  <si>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</si>
  <si>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</si>
  <si>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</si>
  <si>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</si>
  <si>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</si>
  <si>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</si>
  <si>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</si>
  <si>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</si>
  <si>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</si>
  <si>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</si>
  <si>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</si>
  <si>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</si>
  <si>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</si>
  <si>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</si>
  <si>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</si>
  <si>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</si>
  <si>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</si>
  <si>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</si>
  <si>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</si>
  <si>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</si>
  <si>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</si>
  <si>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</si>
  <si>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</si>
  <si>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</si>
  <si>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</si>
  <si>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</si>
  <si>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</si>
  <si>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</si>
  <si>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</si>
  <si>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</si>
  <si>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</si>
  <si>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</si>
  <si>
    <t>Quản lý khách hàng (CRM)</t>
  </si>
  <si>
    <t>Báo giá &amp; Hóa đơn (Sales &amp; Invoicing)</t>
  </si>
  <si>
    <t>Quản lý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</si>
</sst>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1"/>
    </font>
    <font>
      <b/>
      <sz val="10"/>
      <color rgb="FFFFFFFF"/>
      <name val="Calibri"/>
      <charset val="1"/>
    </font>
    <font>
      <b/>
      <sz val="11"/>
      <name val="Calibri"/>
      <charset val="1"/>
    </font>
  </fonts>
  <fills count="3">
    <fill>
      <patternFill patternType="none"/>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0" fontId="0" fillId="0" borderId="0" xfId="0" applyAlignment="1">
      <alignment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1"/>
  <sheetViews>
    <sheetView tabSelected="1" zoomScaleNormal="100" workbookViewId="0"/>
  </sheetViews>
  <sheetFormatPr defaultColWidth="8.6328125"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7.7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79.5"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99.75"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2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2.5"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2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ht="72.5" customHeight="1" x14ac:dyDescent="0.35">
      <c r="A9" t="s">
        <v>89</v>
      </c>
      <c r="B9" t="s">
        <v>21</v>
      </c>
      <c r="C9" t="s">
        <v>90</v>
      </c>
      <c r="D9" t="s">
        <v>91</v>
      </c>
      <c r="E9" t="s">
        <v>92</v>
      </c>
      <c r="F9" t="s">
        <v>93</v>
      </c>
      <c r="G9" t="s">
        <v>26</v>
      </c>
      <c r="H9" t="s">
        <v>27</v>
      </c>
      <c r="I9" t="s">
        <v>94</v>
      </c>
      <c r="J9" s="3" t="s">
        <v>95</v>
      </c>
      <c r="K9" t="s">
        <v>96</v>
      </c>
      <c r="L9" t="s">
        <v>97</v>
      </c>
      <c r="M9" t="s">
        <v>98</v>
      </c>
      <c r="N9" t="s">
        <v>33</v>
      </c>
      <c r="O9" t="s">
        <v>34</v>
      </c>
      <c r="P9" t="s">
        <v>99</v>
      </c>
      <c r="R9" t="s">
        <v>36</v>
      </c>
      <c r="S9" t="s">
        <v>100</v>
      </c>
    </row>
    <row r="10" spans="1:20" ht="72.5" customHeight="1" x14ac:dyDescent="0.35">
      <c r="A10" t="s">
        <v>101</v>
      </c>
      <c r="B10" t="s">
        <v>21</v>
      </c>
      <c r="C10" t="s">
        <v>102</v>
      </c>
      <c r="D10" t="s">
        <v>103</v>
      </c>
      <c r="E10" t="s">
        <v>104</v>
      </c>
      <c r="F10" t="s">
        <v>64</v>
      </c>
      <c r="G10" t="s">
        <v>26</v>
      </c>
      <c r="H10" t="s">
        <v>27</v>
      </c>
      <c r="I10" t="s">
        <v>105</v>
      </c>
      <c r="J10" s="3" t="s">
        <v>106</v>
      </c>
      <c r="K10" t="s">
        <v>107</v>
      </c>
      <c r="L10" t="s">
        <v>108</v>
      </c>
      <c r="M10" t="s">
        <v>109</v>
      </c>
      <c r="N10" t="s">
        <v>33</v>
      </c>
      <c r="O10" t="s">
        <v>34</v>
      </c>
      <c r="P10" t="s">
        <v>110</v>
      </c>
      <c r="R10" t="s">
        <v>36</v>
      </c>
      <c r="S10" t="s">
        <v>100</v>
      </c>
    </row>
    <row r="11" spans="1:20" ht="72.5" customHeight="1" x14ac:dyDescent="0.35">
      <c r="A11" t="s">
        <v>111</v>
      </c>
      <c r="B11" t="s">
        <v>21</v>
      </c>
      <c r="C11" t="s">
        <v>102</v>
      </c>
      <c r="D11" t="s">
        <v>112</v>
      </c>
      <c r="E11" t="s">
        <v>113</v>
      </c>
      <c r="F11" t="s">
        <v>64</v>
      </c>
      <c r="G11" t="s">
        <v>55</v>
      </c>
      <c r="H11" t="s">
        <v>27</v>
      </c>
      <c r="I11" t="s">
        <v>114</v>
      </c>
      <c r="J11" s="3" t="s">
        <v>115</v>
      </c>
      <c r="K11" t="s">
        <v>116</v>
      </c>
      <c r="L11" t="s">
        <v>117</v>
      </c>
      <c r="M11" t="s">
        <v>118</v>
      </c>
      <c r="N11" t="s">
        <v>33</v>
      </c>
      <c r="O11" t="s">
        <v>34</v>
      </c>
      <c r="P11" t="s">
        <v>119</v>
      </c>
      <c r="R11" t="s">
        <v>36</v>
      </c>
      <c r="S11" t="s">
        <v>100</v>
      </c>
    </row>
    <row r="12" spans="1:20" ht="87" customHeight="1" x14ac:dyDescent="0.35">
      <c r="A12" t="s">
        <v>120</v>
      </c>
      <c r="B12" t="s">
        <v>21</v>
      </c>
      <c r="C12" t="s">
        <v>102</v>
      </c>
      <c r="D12" t="s">
        <v>121</v>
      </c>
      <c r="E12" t="s">
        <v>122</v>
      </c>
      <c r="F12" t="s">
        <v>48</v>
      </c>
      <c r="G12" t="s">
        <v>55</v>
      </c>
      <c r="H12" t="s">
        <v>27</v>
      </c>
      <c r="I12" t="s">
        <v>123</v>
      </c>
      <c r="J12" s="3" t="s">
        <v>124</v>
      </c>
      <c r="K12" t="s">
        <v>125</v>
      </c>
      <c r="L12" t="s">
        <v>126</v>
      </c>
      <c r="M12" t="s">
        <v>127</v>
      </c>
      <c r="N12" t="s">
        <v>33</v>
      </c>
      <c r="O12" t="s">
        <v>34</v>
      </c>
      <c r="P12" t="s">
        <v>128</v>
      </c>
      <c r="R12" t="s">
        <v>36</v>
      </c>
      <c r="S12" t="s">
        <v>100</v>
      </c>
    </row>
    <row r="13" spans="1:20" ht="101.5" customHeight="1" x14ac:dyDescent="0.35">
      <c r="A13" t="s">
        <v>129</v>
      </c>
      <c r="B13" t="s">
        <v>21</v>
      </c>
      <c r="C13" t="s">
        <v>130</v>
      </c>
      <c r="D13" t="s">
        <v>131</v>
      </c>
      <c r="E13" t="s">
        <v>132</v>
      </c>
      <c r="F13" t="s">
        <v>93</v>
      </c>
      <c r="G13" t="s">
        <v>26</v>
      </c>
      <c r="H13" t="s">
        <v>27</v>
      </c>
      <c r="I13" t="s">
        <v>133</v>
      </c>
      <c r="J13" s="3" t="s">
        <v>134</v>
      </c>
      <c r="K13" t="s">
        <v>135</v>
      </c>
      <c r="L13" t="s">
        <v>136</v>
      </c>
      <c r="M13" t="s">
        <v>137</v>
      </c>
      <c r="N13" t="s">
        <v>33</v>
      </c>
      <c r="O13" t="s">
        <v>34</v>
      </c>
      <c r="P13" t="s">
        <v>138</v>
      </c>
      <c r="R13" t="s">
        <v>36</v>
      </c>
      <c r="S13" t="s">
        <v>100</v>
      </c>
    </row>
    <row r="14" spans="1:20" ht="87" customHeight="1" x14ac:dyDescent="0.35">
      <c r="A14" t="s">
        <v>139</v>
      </c>
      <c r="B14" t="s">
        <v>140</v>
      </c>
      <c r="C14" t="s">
        <v>141</v>
      </c>
      <c r="D14" t="s">
        <v>142</v>
      </c>
      <c r="E14" t="s">
        <v>143</v>
      </c>
      <c r="F14" t="s">
        <v>144</v>
      </c>
      <c r="G14" t="s">
        <v>26</v>
      </c>
      <c r="H14" t="s">
        <v>27</v>
      </c>
      <c r="I14" t="s">
        <v>145</v>
      </c>
      <c r="J14" s="3" t="s">
        <v>146</v>
      </c>
      <c r="K14" t="s">
        <v>147</v>
      </c>
      <c r="L14" t="s">
        <v>148</v>
      </c>
      <c r="M14" t="s">
        <v>149</v>
      </c>
      <c r="N14" t="s">
        <v>33</v>
      </c>
      <c r="O14" t="s">
        <v>34</v>
      </c>
      <c r="P14" t="s">
        <v>150</v>
      </c>
      <c r="R14" t="s">
        <v>36</v>
      </c>
      <c r="S14" t="s">
        <v>151</v>
      </c>
    </row>
    <row r="15" spans="1:20" ht="87" customHeight="1" x14ac:dyDescent="0.35">
      <c r="A15" t="s">
        <v>152</v>
      </c>
      <c r="B15" t="s">
        <v>140</v>
      </c>
      <c r="C15" t="s">
        <v>141</v>
      </c>
      <c r="D15" t="s">
        <v>153</v>
      </c>
      <c r="E15" t="s">
        <v>154</v>
      </c>
      <c r="F15" t="s">
        <v>144</v>
      </c>
      <c r="G15" t="s">
        <v>26</v>
      </c>
      <c r="H15" t="s">
        <v>27</v>
      </c>
      <c r="I15" t="s">
        <v>155</v>
      </c>
      <c r="J15" s="3" t="s">
        <v>156</v>
      </c>
      <c r="K15" t="s">
        <v>157</v>
      </c>
      <c r="L15" t="s">
        <v>158</v>
      </c>
      <c r="M15" t="s">
        <v>159</v>
      </c>
      <c r="N15" t="s">
        <v>33</v>
      </c>
      <c r="O15" t="s">
        <v>34</v>
      </c>
      <c r="P15" t="s">
        <v>160</v>
      </c>
      <c r="R15" t="s">
        <v>36</v>
      </c>
      <c r="S15" t="s">
        <v>151</v>
      </c>
    </row>
    <row r="16" spans="1:20" ht="72.5" customHeight="1" x14ac:dyDescent="0.35">
      <c r="A16" t="s">
        <v>161</v>
      </c>
      <c r="B16" t="s">
        <v>140</v>
      </c>
      <c r="C16" t="s">
        <v>141</v>
      </c>
      <c r="D16" t="s">
        <v>162</v>
      </c>
      <c r="E16" t="s">
        <v>163</v>
      </c>
      <c r="F16" t="s">
        <v>144</v>
      </c>
      <c r="G16" t="s">
        <v>26</v>
      </c>
      <c r="H16" t="s">
        <v>27</v>
      </c>
      <c r="I16" t="s">
        <v>164</v>
      </c>
      <c r="J16" s="3" t="s">
        <v>165</v>
      </c>
      <c r="K16" t="s">
        <v>166</v>
      </c>
      <c r="L16" t="s">
        <v>167</v>
      </c>
      <c r="M16" t="s">
        <v>168</v>
      </c>
      <c r="N16" t="s">
        <v>33</v>
      </c>
      <c r="O16" t="s">
        <v>34</v>
      </c>
      <c r="P16" t="s">
        <v>169</v>
      </c>
      <c r="R16" t="s">
        <v>36</v>
      </c>
      <c r="S16" t="s">
        <v>151</v>
      </c>
    </row>
    <row r="17" spans="1:20" ht="58" customHeight="1" x14ac:dyDescent="0.35">
      <c r="A17" t="s">
        <v>170</v>
      </c>
      <c r="B17" t="s">
        <v>140</v>
      </c>
      <c r="C17" t="s">
        <v>141</v>
      </c>
      <c r="D17" t="s">
        <v>171</v>
      </c>
      <c r="E17" t="s">
        <v>172</v>
      </c>
      <c r="F17" t="s">
        <v>173</v>
      </c>
      <c r="G17" t="s">
        <v>26</v>
      </c>
      <c r="H17" t="s">
        <v>27</v>
      </c>
      <c r="I17" t="s">
        <v>174</v>
      </c>
      <c r="J17" s="3" t="s">
        <v>175</v>
      </c>
      <c r="K17" t="s">
        <v>176</v>
      </c>
      <c r="L17" t="s">
        <v>177</v>
      </c>
      <c r="M17" t="s">
        <v>178</v>
      </c>
      <c r="N17" t="s">
        <v>33</v>
      </c>
      <c r="O17" t="s">
        <v>34</v>
      </c>
      <c r="P17" t="s">
        <v>179</v>
      </c>
      <c r="R17" t="s">
        <v>36</v>
      </c>
      <c r="S17" t="s">
        <v>151</v>
      </c>
    </row>
    <row r="18" spans="1:20" ht="58" customHeight="1" x14ac:dyDescent="0.35">
      <c r="A18" t="s">
        <v>180</v>
      </c>
      <c r="B18" t="s">
        <v>140</v>
      </c>
      <c r="C18" t="s">
        <v>141</v>
      </c>
      <c r="D18" t="s">
        <v>181</v>
      </c>
      <c r="E18" t="s">
        <v>182</v>
      </c>
      <c r="F18" t="s">
        <v>173</v>
      </c>
      <c r="G18" t="s">
        <v>26</v>
      </c>
      <c r="H18" t="s">
        <v>27</v>
      </c>
      <c r="I18" t="s">
        <v>183</v>
      </c>
      <c r="J18" s="3" t="s">
        <v>184</v>
      </c>
      <c r="K18" t="s">
        <v>185</v>
      </c>
      <c r="L18" t="s">
        <v>186</v>
      </c>
      <c r="M18" t="s">
        <v>187</v>
      </c>
      <c r="N18" t="s">
        <v>33</v>
      </c>
      <c r="O18" t="s">
        <v>34</v>
      </c>
      <c r="P18" t="s">
        <v>188</v>
      </c>
      <c r="R18" t="s">
        <v>36</v>
      </c>
      <c r="S18" t="s">
        <v>151</v>
      </c>
    </row>
    <row r="19" spans="1:20" ht="72.5" customHeight="1" x14ac:dyDescent="0.35">
      <c r="A19" t="s">
        <v>189</v>
      </c>
      <c r="B19" t="s">
        <v>140</v>
      </c>
      <c r="C19" t="s">
        <v>190</v>
      </c>
      <c r="D19" t="s">
        <v>191</v>
      </c>
      <c r="E19" t="s">
        <v>192</v>
      </c>
      <c r="F19" t="s">
        <v>144</v>
      </c>
      <c r="G19" t="s">
        <v>26</v>
      </c>
      <c r="H19" t="s">
        <v>27</v>
      </c>
      <c r="I19" t="s">
        <v>193</v>
      </c>
      <c r="J19" s="3" t="s">
        <v>194</v>
      </c>
      <c r="K19" t="s">
        <v>195</v>
      </c>
      <c r="L19" t="s">
        <v>196</v>
      </c>
      <c r="M19" t="s">
        <v>197</v>
      </c>
      <c r="N19" t="s">
        <v>33</v>
      </c>
      <c r="O19" t="s">
        <v>34</v>
      </c>
      <c r="P19" t="s">
        <v>198</v>
      </c>
      <c r="R19" t="s">
        <v>199</v>
      </c>
      <c r="S19" t="s">
        <v>151</v>
      </c>
    </row>
    <row r="20" spans="1:20" ht="43.5" customHeight="1" x14ac:dyDescent="0.35">
      <c r="A20" t="s">
        <v>200</v>
      </c>
      <c r="B20" t="s">
        <v>201</v>
      </c>
      <c r="C20" t="s">
        <v>190</v>
      </c>
      <c r="D20" t="s">
        <v>202</v>
      </c>
      <c r="E20" t="s">
        <v>203</v>
      </c>
      <c r="F20" t="s">
        <v>173</v>
      </c>
      <c r="G20" t="s">
        <v>26</v>
      </c>
      <c r="H20" t="s">
        <v>27</v>
      </c>
      <c r="I20" t="s">
        <v>204</v>
      </c>
      <c r="J20" s="3" t="s">
        <v>205</v>
      </c>
      <c r="K20" t="s">
        <v>176</v>
      </c>
      <c r="L20" t="s">
        <v>206</v>
      </c>
      <c r="M20" t="s">
        <v>207</v>
      </c>
      <c r="N20" t="s">
        <v>33</v>
      </c>
      <c r="O20" t="s">
        <v>34</v>
      </c>
      <c r="P20" t="s">
        <v>208</v>
      </c>
      <c r="R20" t="s">
        <v>36</v>
      </c>
      <c r="S20" t="s">
        <v>151</v>
      </c>
    </row>
    <row r="21" spans="1:20" ht="87" customHeight="1" x14ac:dyDescent="0.35">
      <c r="A21" t="s">
        <v>209</v>
      </c>
      <c r="B21" t="s">
        <v>210</v>
      </c>
      <c r="C21" t="s">
        <v>211</v>
      </c>
      <c r="D21" t="s">
        <v>212</v>
      </c>
      <c r="E21" t="s">
        <v>213</v>
      </c>
      <c r="F21" t="s">
        <v>214</v>
      </c>
      <c r="G21" t="s">
        <v>26</v>
      </c>
      <c r="H21" t="s">
        <v>27</v>
      </c>
      <c r="I21" t="s">
        <v>215</v>
      </c>
      <c r="J21" s="3" t="s">
        <v>216</v>
      </c>
      <c r="K21" t="s">
        <v>217</v>
      </c>
      <c r="L21" t="s">
        <v>218</v>
      </c>
      <c r="M21" t="s">
        <v>219</v>
      </c>
      <c r="N21" t="s">
        <v>33</v>
      </c>
      <c r="O21" t="s">
        <v>34</v>
      </c>
      <c r="P21" t="s">
        <v>220</v>
      </c>
      <c r="R21" t="s">
        <v>36</v>
      </c>
      <c r="S21" t="s">
        <v>221</v>
      </c>
    </row>
    <row r="22" spans="1:20" ht="203" customHeight="1" x14ac:dyDescent="0.35">
      <c r="A22" t="s">
        <v>222</v>
      </c>
      <c r="B22" t="s">
        <v>140</v>
      </c>
      <c r="C22" t="s">
        <v>223</v>
      </c>
      <c r="D22" t="s">
        <v>224</v>
      </c>
      <c r="E22" t="s">
        <v>225</v>
      </c>
      <c r="F22" t="s">
        <v>226</v>
      </c>
      <c r="G22" t="s">
        <v>26</v>
      </c>
      <c r="H22" t="s">
        <v>227</v>
      </c>
      <c r="I22" t="s">
        <v>228</v>
      </c>
      <c r="J22" s="3" t="s">
        <v>229</v>
      </c>
      <c r="K22" t="s">
        <v>230</v>
      </c>
      <c r="L22" t="s">
        <v>231</v>
      </c>
      <c r="N22" t="s">
        <v>232</v>
      </c>
      <c r="R22" t="s">
        <v>233</v>
      </c>
      <c r="S22" t="s">
        <v>234</v>
      </c>
      <c r="T22" t="s">
        <v>235</v>
      </c>
    </row>
    <row r="23" spans="1:20" ht="188.5" customHeight="1" x14ac:dyDescent="0.35">
      <c r="A23" t="s">
        <v>236</v>
      </c>
      <c r="B23" t="s">
        <v>140</v>
      </c>
      <c r="C23" t="s">
        <v>223</v>
      </c>
      <c r="D23" t="s">
        <v>237</v>
      </c>
      <c r="E23" t="s">
        <v>238</v>
      </c>
      <c r="F23" t="s">
        <v>239</v>
      </c>
      <c r="G23" t="s">
        <v>26</v>
      </c>
      <c r="H23" t="s">
        <v>227</v>
      </c>
      <c r="I23" t="s">
        <v>240</v>
      </c>
      <c r="J23" s="3" t="s">
        <v>241</v>
      </c>
      <c r="K23" t="s">
        <v>242</v>
      </c>
      <c r="L23" t="s">
        <v>243</v>
      </c>
      <c r="N23" t="s">
        <v>232</v>
      </c>
      <c r="R23" t="s">
        <v>244</v>
      </c>
      <c r="S23" t="s">
        <v>234</v>
      </c>
      <c r="T23" t="s">
        <v>245</v>
      </c>
    </row>
    <row r="24" spans="1:20" ht="188.5" customHeight="1" x14ac:dyDescent="0.35">
      <c r="A24" t="s">
        <v>246</v>
      </c>
      <c r="B24" t="s">
        <v>140</v>
      </c>
      <c r="C24" t="s">
        <v>223</v>
      </c>
      <c r="D24" t="s">
        <v>247</v>
      </c>
      <c r="E24" t="s">
        <v>248</v>
      </c>
      <c r="F24" t="s">
        <v>249</v>
      </c>
      <c r="G24" t="s">
        <v>26</v>
      </c>
      <c r="H24" t="s">
        <v>227</v>
      </c>
      <c r="I24" t="s">
        <v>250</v>
      </c>
      <c r="J24" s="3" t="s">
        <v>251</v>
      </c>
      <c r="K24" t="s">
        <v>252</v>
      </c>
      <c r="L24" t="s">
        <v>253</v>
      </c>
      <c r="N24" t="s">
        <v>232</v>
      </c>
      <c r="R24" t="s">
        <v>254</v>
      </c>
      <c r="S24" t="s">
        <v>234</v>
      </c>
      <c r="T24" t="s">
        <v>255</v>
      </c>
    </row>
    <row r="25" spans="1:20" ht="101.5" customHeight="1" x14ac:dyDescent="0.35">
      <c r="A25" t="s">
        <v>256</v>
      </c>
      <c r="B25" t="s">
        <v>140</v>
      </c>
      <c r="C25" t="s">
        <v>223</v>
      </c>
      <c r="D25" t="s">
        <v>257</v>
      </c>
      <c r="E25" t="s">
        <v>258</v>
      </c>
      <c r="F25" t="s">
        <v>259</v>
      </c>
      <c r="G25" t="s">
        <v>26</v>
      </c>
      <c r="H25" t="s">
        <v>227</v>
      </c>
      <c r="I25" t="s">
        <v>260</v>
      </c>
      <c r="J25" s="3" t="s">
        <v>261</v>
      </c>
      <c r="K25" t="s">
        <v>262</v>
      </c>
      <c r="L25" t="s">
        <v>263</v>
      </c>
      <c r="N25" t="s">
        <v>232</v>
      </c>
      <c r="R25" t="s">
        <v>264</v>
      </c>
      <c r="S25" t="s">
        <v>234</v>
      </c>
      <c r="T25" t="s">
        <v>265</v>
      </c>
    </row>
    <row r="26" spans="1:20" ht="130.5" customHeight="1" x14ac:dyDescent="0.35">
      <c r="A26" t="s">
        <v>266</v>
      </c>
      <c r="B26" t="s">
        <v>210</v>
      </c>
      <c r="C26" t="s">
        <v>267</v>
      </c>
      <c r="D26" t="s">
        <v>268</v>
      </c>
      <c r="E26" t="s">
        <v>269</v>
      </c>
      <c r="F26" t="s">
        <v>249</v>
      </c>
      <c r="G26" t="s">
        <v>26</v>
      </c>
      <c r="H26" t="s">
        <v>227</v>
      </c>
      <c r="I26" t="s">
        <v>270</v>
      </c>
      <c r="J26" s="3" t="s">
        <v>271</v>
      </c>
      <c r="K26" t="s">
        <v>272</v>
      </c>
      <c r="L26" t="s">
        <v>273</v>
      </c>
      <c r="N26" t="s">
        <v>232</v>
      </c>
      <c r="R26" t="s">
        <v>274</v>
      </c>
      <c r="S26" t="s">
        <v>234</v>
      </c>
      <c r="T26" t="s">
        <v>275</v>
      </c>
    </row>
    <row r="27" spans="1:20" ht="116" customHeight="1" x14ac:dyDescent="0.35">
      <c r="A27" t="s">
        <v>276</v>
      </c>
      <c r="B27" t="s">
        <v>210</v>
      </c>
      <c r="C27" t="s">
        <v>267</v>
      </c>
      <c r="D27" t="s">
        <v>268</v>
      </c>
      <c r="E27" t="s">
        <v>277</v>
      </c>
      <c r="F27" t="s">
        <v>249</v>
      </c>
      <c r="G27" t="s">
        <v>26</v>
      </c>
      <c r="H27" t="s">
        <v>227</v>
      </c>
      <c r="I27" t="s">
        <v>278</v>
      </c>
      <c r="J27" s="3" t="s">
        <v>279</v>
      </c>
      <c r="K27" t="s">
        <v>280</v>
      </c>
      <c r="L27" t="s">
        <v>281</v>
      </c>
      <c r="N27" t="s">
        <v>232</v>
      </c>
      <c r="R27" t="s">
        <v>274</v>
      </c>
      <c r="S27" t="s">
        <v>234</v>
      </c>
      <c r="T27" t="s">
        <v>282</v>
      </c>
    </row>
    <row r="28" spans="1:20" ht="116" customHeight="1" x14ac:dyDescent="0.35">
      <c r="A28" t="s">
        <v>283</v>
      </c>
      <c r="B28" t="s">
        <v>210</v>
      </c>
      <c r="C28" t="s">
        <v>267</v>
      </c>
      <c r="D28" t="s">
        <v>284</v>
      </c>
      <c r="E28" t="s">
        <v>285</v>
      </c>
      <c r="F28" t="s">
        <v>286</v>
      </c>
      <c r="G28" t="s">
        <v>55</v>
      </c>
      <c r="H28" t="s">
        <v>227</v>
      </c>
      <c r="I28" t="s">
        <v>287</v>
      </c>
      <c r="J28" s="3" t="s">
        <v>288</v>
      </c>
      <c r="K28" t="s">
        <v>289</v>
      </c>
      <c r="L28" s="3" t="s">
        <v>290</v>
      </c>
      <c r="N28" t="s">
        <v>232</v>
      </c>
      <c r="R28" t="s">
        <v>274</v>
      </c>
      <c r="S28" t="s">
        <v>234</v>
      </c>
      <c r="T28" t="s">
        <v>291</v>
      </c>
    </row>
    <row r="29" spans="1:20" ht="145" customHeight="1" x14ac:dyDescent="0.35">
      <c r="A29" t="s">
        <v>292</v>
      </c>
      <c r="B29" t="s">
        <v>210</v>
      </c>
      <c r="C29" t="s">
        <v>293</v>
      </c>
      <c r="D29" t="s">
        <v>294</v>
      </c>
      <c r="E29" t="s">
        <v>295</v>
      </c>
      <c r="F29" t="s">
        <v>286</v>
      </c>
      <c r="G29" t="s">
        <v>26</v>
      </c>
      <c r="H29" t="s">
        <v>227</v>
      </c>
      <c r="I29" t="s">
        <v>296</v>
      </c>
      <c r="J29" s="3" t="s">
        <v>297</v>
      </c>
      <c r="K29" t="s">
        <v>298</v>
      </c>
      <c r="L29" t="s">
        <v>299</v>
      </c>
      <c r="N29" t="s">
        <v>232</v>
      </c>
      <c r="R29" t="s">
        <v>274</v>
      </c>
      <c r="S29" t="s">
        <v>234</v>
      </c>
      <c r="T29" t="s">
        <v>300</v>
      </c>
    </row>
    <row r="30" spans="1:20" ht="72.5" customHeight="1" x14ac:dyDescent="0.35">
      <c r="A30" t="s">
        <v>301</v>
      </c>
      <c r="B30" t="s">
        <v>140</v>
      </c>
      <c r="C30" t="s">
        <v>141</v>
      </c>
      <c r="D30" t="s">
        <v>302</v>
      </c>
      <c r="E30" t="s">
        <v>303</v>
      </c>
      <c r="F30" t="s">
        <v>304</v>
      </c>
      <c r="G30" t="s">
        <v>26</v>
      </c>
      <c r="H30" t="s">
        <v>27</v>
      </c>
      <c r="I30" t="s">
        <v>305</v>
      </c>
      <c r="J30" s="3" t="s">
        <v>306</v>
      </c>
      <c r="K30" t="s">
        <v>307</v>
      </c>
      <c r="L30" t="s">
        <v>308</v>
      </c>
      <c r="M30" t="s">
        <v>309</v>
      </c>
      <c r="N30" t="s">
        <v>33</v>
      </c>
      <c r="O30" t="s">
        <v>310</v>
      </c>
      <c r="P30" t="s">
        <v>311</v>
      </c>
      <c r="R30" t="s">
        <v>312</v>
      </c>
      <c r="S30" t="s">
        <v>151</v>
      </c>
    </row>
    <row r="31" spans="1:20" ht="72.5" customHeight="1" x14ac:dyDescent="0.35">
      <c r="A31" t="s">
        <v>313</v>
      </c>
      <c r="B31" t="s">
        <v>140</v>
      </c>
      <c r="C31" t="s">
        <v>141</v>
      </c>
      <c r="D31" t="s">
        <v>314</v>
      </c>
      <c r="E31" t="s">
        <v>315</v>
      </c>
      <c r="F31" t="s">
        <v>173</v>
      </c>
      <c r="G31" t="s">
        <v>26</v>
      </c>
      <c r="H31" t="s">
        <v>27</v>
      </c>
      <c r="I31" t="s">
        <v>183</v>
      </c>
      <c r="J31" s="3" t="s">
        <v>316</v>
      </c>
      <c r="K31" t="s">
        <v>317</v>
      </c>
      <c r="L31" t="s">
        <v>318</v>
      </c>
      <c r="M31" t="s">
        <v>319</v>
      </c>
      <c r="N31" t="s">
        <v>33</v>
      </c>
      <c r="O31" t="s">
        <v>310</v>
      </c>
      <c r="P31" t="s">
        <v>320</v>
      </c>
      <c r="R31" t="s">
        <v>312</v>
      </c>
      <c r="S31" t="s">
        <v>151</v>
      </c>
    </row>
    <row r="32" spans="1:20" ht="116" customHeight="1" x14ac:dyDescent="0.35">
      <c r="A32" t="s">
        <v>321</v>
      </c>
      <c r="B32" t="s">
        <v>201</v>
      </c>
      <c r="C32" t="s">
        <v>190</v>
      </c>
      <c r="D32" t="s">
        <v>322</v>
      </c>
      <c r="E32" t="s">
        <v>323</v>
      </c>
      <c r="F32" t="s">
        <v>324</v>
      </c>
      <c r="G32" t="s">
        <v>26</v>
      </c>
      <c r="H32" t="s">
        <v>27</v>
      </c>
      <c r="I32" t="s">
        <v>325</v>
      </c>
      <c r="J32" s="3" t="s">
        <v>326</v>
      </c>
      <c r="K32" t="s">
        <v>327</v>
      </c>
      <c r="L32" t="s">
        <v>328</v>
      </c>
      <c r="M32" t="s">
        <v>329</v>
      </c>
      <c r="N32" t="s">
        <v>33</v>
      </c>
      <c r="O32" t="s">
        <v>310</v>
      </c>
      <c r="P32" t="s">
        <v>330</v>
      </c>
      <c r="R32" t="s">
        <v>312</v>
      </c>
      <c r="S32" t="s">
        <v>151</v>
      </c>
    </row>
    <row r="33" spans="1:19" ht="116" customHeight="1" x14ac:dyDescent="0.35">
      <c r="A33" t="s">
        <v>331</v>
      </c>
      <c r="B33" t="s">
        <v>140</v>
      </c>
      <c r="C33" t="s">
        <v>223</v>
      </c>
      <c r="D33" t="s">
        <v>332</v>
      </c>
      <c r="E33" t="s">
        <v>333</v>
      </c>
      <c r="F33" t="s">
        <v>334</v>
      </c>
      <c r="G33" t="s">
        <v>55</v>
      </c>
      <c r="H33" t="s">
        <v>227</v>
      </c>
      <c r="I33" t="s">
        <v>335</v>
      </c>
      <c r="J33" s="3" t="s">
        <v>336</v>
      </c>
      <c r="K33" t="s">
        <v>337</v>
      </c>
      <c r="L33" t="s">
        <v>338</v>
      </c>
      <c r="N33" t="s">
        <v>232</v>
      </c>
      <c r="R33" t="s">
        <v>339</v>
      </c>
      <c r="S33" t="s">
        <v>340</v>
      </c>
    </row>
    <row r="34" spans="1:19" ht="87" customHeight="1" x14ac:dyDescent="0.35">
      <c r="A34" t="s">
        <v>341</v>
      </c>
      <c r="B34" t="s">
        <v>140</v>
      </c>
      <c r="C34" t="s">
        <v>223</v>
      </c>
      <c r="D34" t="s">
        <v>342</v>
      </c>
      <c r="E34" t="s">
        <v>343</v>
      </c>
      <c r="F34" t="s">
        <v>286</v>
      </c>
      <c r="G34" t="s">
        <v>55</v>
      </c>
      <c r="H34" t="s">
        <v>227</v>
      </c>
      <c r="I34" t="s">
        <v>344</v>
      </c>
      <c r="J34" s="3" t="s">
        <v>345</v>
      </c>
      <c r="K34" t="s">
        <v>346</v>
      </c>
      <c r="L34" t="s">
        <v>347</v>
      </c>
      <c r="N34" t="s">
        <v>232</v>
      </c>
      <c r="R34" t="s">
        <v>348</v>
      </c>
      <c r="S34" t="s">
        <v>340</v>
      </c>
    </row>
    <row r="35" spans="1:19" ht="116" customHeight="1" x14ac:dyDescent="0.35">
      <c r="A35" t="s">
        <v>349</v>
      </c>
      <c r="B35" t="s">
        <v>210</v>
      </c>
      <c r="C35" t="s">
        <v>267</v>
      </c>
      <c r="D35" t="s">
        <v>350</v>
      </c>
      <c r="E35" t="s">
        <v>351</v>
      </c>
      <c r="F35" t="s">
        <v>286</v>
      </c>
      <c r="G35" t="s">
        <v>26</v>
      </c>
      <c r="H35" t="s">
        <v>227</v>
      </c>
      <c r="I35" t="s">
        <v>352</v>
      </c>
      <c r="J35" s="3" t="s">
        <v>353</v>
      </c>
      <c r="K35" t="s">
        <v>354</v>
      </c>
      <c r="L35" t="s">
        <v>355</v>
      </c>
      <c r="N35" t="s">
        <v>232</v>
      </c>
      <c r="R35" t="s">
        <v>356</v>
      </c>
      <c r="S35" t="s">
        <v>340</v>
      </c>
    </row>
    <row r="36" spans="1:19" ht="116" customHeight="1" x14ac:dyDescent="0.35">
      <c r="A36" t="s">
        <v>357</v>
      </c>
      <c r="B36" t="s">
        <v>210</v>
      </c>
      <c r="C36" t="s">
        <v>267</v>
      </c>
      <c r="D36" t="s">
        <v>358</v>
      </c>
      <c r="E36" t="s">
        <v>359</v>
      </c>
      <c r="F36" t="s">
        <v>286</v>
      </c>
      <c r="G36" t="s">
        <v>26</v>
      </c>
      <c r="H36" t="s">
        <v>227</v>
      </c>
      <c r="I36" t="s">
        <v>360</v>
      </c>
      <c r="J36" s="3" t="s">
        <v>361</v>
      </c>
      <c r="K36" t="s">
        <v>362</v>
      </c>
      <c r="L36" t="s">
        <v>363</v>
      </c>
      <c r="N36" t="s">
        <v>232</v>
      </c>
      <c r="R36" t="s">
        <v>364</v>
      </c>
      <c r="S36" t="s">
        <v>340</v>
      </c>
    </row>
    <row r="37" spans="1:19" ht="159.5" customHeight="1" x14ac:dyDescent="0.35">
      <c r="A37" t="s">
        <v>365</v>
      </c>
      <c r="B37" t="s">
        <v>210</v>
      </c>
      <c r="C37" t="s">
        <v>293</v>
      </c>
      <c r="D37" t="s">
        <v>366</v>
      </c>
      <c r="E37" t="s">
        <v>367</v>
      </c>
      <c r="F37" t="s">
        <v>286</v>
      </c>
      <c r="G37" t="s">
        <v>26</v>
      </c>
      <c r="H37" t="s">
        <v>227</v>
      </c>
      <c r="I37" t="s">
        <v>368</v>
      </c>
      <c r="J37" s="3" t="s">
        <v>369</v>
      </c>
      <c r="K37" t="s">
        <v>370</v>
      </c>
      <c r="L37" t="s">
        <v>371</v>
      </c>
      <c r="N37" t="s">
        <v>232</v>
      </c>
      <c r="R37" t="s">
        <v>372</v>
      </c>
      <c r="S37" t="s">
        <v>340</v>
      </c>
    </row>
    <row r="38" spans="1:19" x14ac:dyDescent="0.35">
      <c r="A38" t="s">
        <v>373</v>
      </c>
      <c r="B38" t="s">
        <v>21</v>
      </c>
      <c r="C38" t="s">
        <v>22</v>
      </c>
      <c r="D38" t="s">
        <v>374</v>
      </c>
      <c r="E38" t="s">
        <v>375</v>
      </c>
      <c r="F38" t="s">
        <v>249</v>
      </c>
      <c r="G38" t="s">
        <v>55</v>
      </c>
      <c r="H38" t="s">
        <v>27</v>
      </c>
      <c r="I38" t="s">
        <v>376</v>
      </c>
      <c r="J38" t="s">
        <v>377</v>
      </c>
      <c r="K38" t="s">
        <v>378</v>
      </c>
      <c r="L38" t="s">
        <v>379</v>
      </c>
      <c r="M38" t="s">
        <v>380</v>
      </c>
      <c r="N38" t="s">
        <v>33</v>
      </c>
      <c r="O38" t="s">
        <v>381</v>
      </c>
      <c r="P38" t="s">
        <v>382</v>
      </c>
      <c r="R38" t="s">
        <v>383</v>
      </c>
      <c r="S38" t="s">
        <v>384</v>
      </c>
    </row>
    <row r="39" spans="1:19" x14ac:dyDescent="0.35">
      <c r="A39" t="s">
        <v>385</v>
      </c>
      <c r="B39" t="s">
        <v>21</v>
      </c>
      <c r="C39" t="s">
        <v>22</v>
      </c>
      <c r="D39" t="s">
        <v>386</v>
      </c>
      <c r="E39" t="s">
        <v>387</v>
      </c>
      <c r="F39" t="s">
        <v>249</v>
      </c>
      <c r="G39" t="s">
        <v>55</v>
      </c>
      <c r="H39" t="s">
        <v>27</v>
      </c>
      <c r="I39" t="s">
        <v>388</v>
      </c>
      <c r="J39" t="s">
        <v>389</v>
      </c>
      <c r="K39" t="s">
        <v>390</v>
      </c>
      <c r="L39" t="s">
        <v>391</v>
      </c>
      <c r="M39" t="s">
        <v>392</v>
      </c>
      <c r="N39" t="s">
        <v>33</v>
      </c>
      <c r="O39" t="s">
        <v>381</v>
      </c>
      <c r="P39" t="s">
        <v>382</v>
      </c>
      <c r="R39" t="s">
        <v>393</v>
      </c>
      <c r="S39" t="s">
        <v>384</v>
      </c>
    </row>
    <row r="40" spans="1:19" x14ac:dyDescent="0.35">
      <c r="A40" t="s">
        <v>394</v>
      </c>
      <c r="B40" t="s">
        <v>21</v>
      </c>
      <c r="C40" t="s">
        <v>22</v>
      </c>
      <c r="D40" t="s">
        <v>395</v>
      </c>
      <c r="E40" t="s">
        <v>396</v>
      </c>
      <c r="F40" t="s">
        <v>286</v>
      </c>
      <c r="G40" t="s">
        <v>55</v>
      </c>
      <c r="H40" t="s">
        <v>27</v>
      </c>
      <c r="I40" t="s">
        <v>388</v>
      </c>
      <c r="J40" t="s">
        <v>397</v>
      </c>
      <c r="K40" t="s">
        <v>398</v>
      </c>
      <c r="L40" t="s">
        <v>399</v>
      </c>
      <c r="M40" t="s">
        <v>400</v>
      </c>
      <c r="N40" t="s">
        <v>33</v>
      </c>
      <c r="O40" t="s">
        <v>310</v>
      </c>
      <c r="P40" t="s">
        <v>401</v>
      </c>
      <c r="R40" t="s">
        <v>402</v>
      </c>
      <c r="S40" t="s">
        <v>384</v>
      </c>
    </row>
    <row r="41" spans="1:19" x14ac:dyDescent="0.35">
      <c r="A41" t="s">
        <v>403</v>
      </c>
      <c r="B41" t="s">
        <v>21</v>
      </c>
      <c r="C41" t="s">
        <v>22</v>
      </c>
      <c r="D41" t="s">
        <v>404</v>
      </c>
      <c r="E41" t="s">
        <v>405</v>
      </c>
      <c r="F41" t="s">
        <v>249</v>
      </c>
      <c r="G41" t="s">
        <v>55</v>
      </c>
      <c r="H41" t="s">
        <v>27</v>
      </c>
      <c r="I41" t="s">
        <v>388</v>
      </c>
      <c r="J41" t="s">
        <v>406</v>
      </c>
      <c r="K41" t="s">
        <v>407</v>
      </c>
      <c r="L41" t="s">
        <v>408</v>
      </c>
      <c r="M41" t="s">
        <v>409</v>
      </c>
      <c r="N41" t="s">
        <v>33</v>
      </c>
      <c r="O41" t="s">
        <v>310</v>
      </c>
      <c r="P41" t="s">
        <v>410</v>
      </c>
      <c r="R41" t="s">
        <v>411</v>
      </c>
      <c r="S41" t="s">
        <v>384</v>
      </c>
    </row>
    <row r="42" spans="1:19" x14ac:dyDescent="0.35">
      <c r="A42" t="s">
        <v>412</v>
      </c>
      <c r="B42" t="s">
        <v>21</v>
      </c>
      <c r="C42" t="s">
        <v>130</v>
      </c>
      <c r="D42" t="s">
        <v>413</v>
      </c>
      <c r="E42" t="s">
        <v>414</v>
      </c>
      <c r="F42" t="s">
        <v>334</v>
      </c>
      <c r="G42" t="s">
        <v>26</v>
      </c>
      <c r="H42" t="s">
        <v>27</v>
      </c>
      <c r="I42" t="s">
        <v>415</v>
      </c>
      <c r="J42" t="s">
        <v>416</v>
      </c>
      <c r="K42" t="s">
        <v>417</v>
      </c>
      <c r="L42" t="s">
        <v>418</v>
      </c>
      <c r="M42" t="s">
        <v>419</v>
      </c>
      <c r="N42" t="s">
        <v>33</v>
      </c>
      <c r="O42" t="s">
        <v>381</v>
      </c>
      <c r="P42" t="s">
        <v>382</v>
      </c>
      <c r="R42" t="s">
        <v>420</v>
      </c>
      <c r="S42" t="s">
        <v>384</v>
      </c>
    </row>
    <row r="43" spans="1:19" x14ac:dyDescent="0.35">
      <c r="A43" t="s">
        <v>421</v>
      </c>
      <c r="B43" t="s">
        <v>21</v>
      </c>
      <c r="C43" t="s">
        <v>22</v>
      </c>
      <c r="D43" t="s">
        <v>422</v>
      </c>
      <c r="E43" t="s">
        <v>423</v>
      </c>
      <c r="F43" t="s">
        <v>424</v>
      </c>
      <c r="G43" t="s">
        <v>55</v>
      </c>
      <c r="H43" t="s">
        <v>27</v>
      </c>
      <c r="I43" t="s">
        <v>425</v>
      </c>
      <c r="J43" t="s">
        <v>426</v>
      </c>
      <c r="K43" t="s">
        <v>427</v>
      </c>
      <c r="L43" t="s">
        <v>428</v>
      </c>
      <c r="M43" t="s">
        <v>429</v>
      </c>
      <c r="N43" t="s">
        <v>33</v>
      </c>
      <c r="O43" t="s">
        <v>310</v>
      </c>
      <c r="P43" t="s">
        <v>430</v>
      </c>
      <c r="R43" t="s">
        <v>431</v>
      </c>
      <c r="S43" t="s">
        <v>384</v>
      </c>
    </row>
    <row r="44" spans="1:19" x14ac:dyDescent="0.35">
      <c r="A44" t="s">
        <v>432</v>
      </c>
      <c r="B44" t="s">
        <v>21</v>
      </c>
      <c r="C44" t="s">
        <v>102</v>
      </c>
      <c r="D44" t="s">
        <v>433</v>
      </c>
      <c r="E44" t="s">
        <v>434</v>
      </c>
      <c r="F44" t="s">
        <v>249</v>
      </c>
      <c r="G44" t="s">
        <v>55</v>
      </c>
      <c r="H44" t="s">
        <v>27</v>
      </c>
      <c r="I44" t="s">
        <v>435</v>
      </c>
      <c r="J44" t="s">
        <v>436</v>
      </c>
      <c r="K44" t="s">
        <v>437</v>
      </c>
      <c r="L44" t="s">
        <v>438</v>
      </c>
      <c r="M44" t="s">
        <v>439</v>
      </c>
      <c r="N44" t="s">
        <v>33</v>
      </c>
      <c r="O44" t="s">
        <v>381</v>
      </c>
      <c r="P44" t="s">
        <v>382</v>
      </c>
      <c r="R44" t="s">
        <v>440</v>
      </c>
      <c r="S44" t="s">
        <v>384</v>
      </c>
    </row>
    <row r="45" spans="1:19" x14ac:dyDescent="0.35">
      <c r="A45" t="s">
        <v>441</v>
      </c>
      <c r="B45" t="s">
        <v>21</v>
      </c>
      <c r="C45" t="s">
        <v>102</v>
      </c>
      <c r="D45" t="s">
        <v>442</v>
      </c>
      <c r="E45" t="s">
        <v>443</v>
      </c>
      <c r="F45" t="s">
        <v>444</v>
      </c>
      <c r="G45" t="s">
        <v>26</v>
      </c>
      <c r="H45" t="s">
        <v>227</v>
      </c>
      <c r="I45" t="s">
        <v>445</v>
      </c>
      <c r="J45" t="s">
        <v>446</v>
      </c>
      <c r="K45" t="s">
        <v>447</v>
      </c>
      <c r="L45" t="s">
        <v>448</v>
      </c>
      <c r="N45" t="s">
        <v>232</v>
      </c>
      <c r="R45" t="s">
        <v>449</v>
      </c>
      <c r="S45" t="s">
        <v>384</v>
      </c>
    </row>
    <row r="46" spans="1:19" x14ac:dyDescent="0.35">
      <c r="A46" t="s">
        <v>450</v>
      </c>
      <c r="B46" t="s">
        <v>140</v>
      </c>
      <c r="C46" t="s">
        <v>223</v>
      </c>
      <c r="D46" t="s">
        <v>451</v>
      </c>
      <c r="E46" t="s">
        <v>452</v>
      </c>
      <c r="F46" t="s">
        <v>226</v>
      </c>
      <c r="G46" t="s">
        <v>55</v>
      </c>
      <c r="H46" t="s">
        <v>227</v>
      </c>
      <c r="I46" t="s">
        <v>453</v>
      </c>
      <c r="J46" t="s">
        <v>454</v>
      </c>
      <c r="K46" t="s">
        <v>455</v>
      </c>
      <c r="L46" t="s">
        <v>456</v>
      </c>
      <c r="N46" t="s">
        <v>232</v>
      </c>
      <c r="R46" t="s">
        <v>457</v>
      </c>
      <c r="S46" t="s">
        <v>384</v>
      </c>
    </row>
    <row r="47" spans="1:19" x14ac:dyDescent="0.35">
      <c r="A47" t="s">
        <v>458</v>
      </c>
      <c r="B47" t="s">
        <v>140</v>
      </c>
      <c r="C47" t="s">
        <v>223</v>
      </c>
      <c r="D47" t="s">
        <v>459</v>
      </c>
      <c r="E47" t="s">
        <v>460</v>
      </c>
      <c r="F47" t="s">
        <v>249</v>
      </c>
      <c r="G47" t="s">
        <v>26</v>
      </c>
      <c r="H47" t="s">
        <v>227</v>
      </c>
      <c r="I47" t="s">
        <v>461</v>
      </c>
      <c r="J47" t="s">
        <v>462</v>
      </c>
      <c r="K47" t="s">
        <v>463</v>
      </c>
      <c r="L47" t="s">
        <v>464</v>
      </c>
      <c r="N47" t="s">
        <v>232</v>
      </c>
      <c r="R47" t="s">
        <v>465</v>
      </c>
      <c r="S47" t="s">
        <v>384</v>
      </c>
    </row>
    <row r="48" spans="1:19" x14ac:dyDescent="0.35">
      <c r="A48" t="s">
        <v>466</v>
      </c>
      <c r="B48" t="s">
        <v>140</v>
      </c>
      <c r="C48" t="s">
        <v>223</v>
      </c>
      <c r="D48" t="s">
        <v>467</v>
      </c>
      <c r="E48" t="s">
        <v>468</v>
      </c>
      <c r="F48" t="s">
        <v>286</v>
      </c>
      <c r="G48" t="s">
        <v>55</v>
      </c>
      <c r="H48" t="s">
        <v>27</v>
      </c>
      <c r="I48" t="s">
        <v>469</v>
      </c>
      <c r="J48" t="s">
        <v>470</v>
      </c>
      <c r="K48" t="s">
        <v>471</v>
      </c>
      <c r="L48" t="s">
        <v>472</v>
      </c>
      <c r="M48" t="s">
        <v>473</v>
      </c>
      <c r="N48" t="s">
        <v>33</v>
      </c>
      <c r="O48" t="s">
        <v>381</v>
      </c>
      <c r="P48" t="s">
        <v>382</v>
      </c>
      <c r="R48" t="s">
        <v>474</v>
      </c>
      <c r="S48" t="s">
        <v>384</v>
      </c>
    </row>
    <row r="49" spans="1:19" x14ac:dyDescent="0.35">
      <c r="A49" t="s">
        <v>475</v>
      </c>
      <c r="B49" t="s">
        <v>140</v>
      </c>
      <c r="C49" t="s">
        <v>223</v>
      </c>
      <c r="D49" t="s">
        <v>476</v>
      </c>
      <c r="E49" t="s">
        <v>477</v>
      </c>
      <c r="F49" t="s">
        <v>286</v>
      </c>
      <c r="G49" t="s">
        <v>55</v>
      </c>
      <c r="H49" t="s">
        <v>27</v>
      </c>
      <c r="I49" t="s">
        <v>469</v>
      </c>
      <c r="J49" t="s">
        <v>478</v>
      </c>
      <c r="K49" t="s">
        <v>479</v>
      </c>
      <c r="L49" t="s">
        <v>480</v>
      </c>
      <c r="M49" t="s">
        <v>481</v>
      </c>
      <c r="N49" t="s">
        <v>33</v>
      </c>
      <c r="O49" t="s">
        <v>381</v>
      </c>
      <c r="P49" t="s">
        <v>382</v>
      </c>
      <c r="R49" t="s">
        <v>482</v>
      </c>
      <c r="S49" t="s">
        <v>384</v>
      </c>
    </row>
    <row r="50" spans="1:19" x14ac:dyDescent="0.35">
      <c r="A50" t="s">
        <v>483</v>
      </c>
      <c r="B50" t="s">
        <v>140</v>
      </c>
      <c r="C50" t="s">
        <v>223</v>
      </c>
      <c r="D50" t="s">
        <v>484</v>
      </c>
      <c r="E50" t="s">
        <v>485</v>
      </c>
      <c r="F50" t="s">
        <v>249</v>
      </c>
      <c r="G50" t="s">
        <v>55</v>
      </c>
      <c r="H50" t="s">
        <v>227</v>
      </c>
      <c r="I50" t="s">
        <v>469</v>
      </c>
      <c r="J50" t="s">
        <v>486</v>
      </c>
      <c r="K50" t="s">
        <v>487</v>
      </c>
      <c r="L50" t="s">
        <v>488</v>
      </c>
      <c r="N50" t="s">
        <v>232</v>
      </c>
      <c r="R50" t="s">
        <v>489</v>
      </c>
      <c r="S50" t="s">
        <v>384</v>
      </c>
    </row>
    <row r="51" spans="1:19" x14ac:dyDescent="0.35">
      <c r="A51" t="s">
        <v>490</v>
      </c>
      <c r="B51" t="s">
        <v>140</v>
      </c>
      <c r="C51" t="s">
        <v>190</v>
      </c>
      <c r="D51" t="s">
        <v>491</v>
      </c>
      <c r="E51" t="s">
        <v>492</v>
      </c>
      <c r="F51" t="s">
        <v>493</v>
      </c>
      <c r="G51" t="s">
        <v>26</v>
      </c>
      <c r="H51" t="s">
        <v>27</v>
      </c>
      <c r="I51" t="s">
        <v>494</v>
      </c>
      <c r="J51" t="s">
        <v>495</v>
      </c>
      <c r="K51" t="s">
        <v>496</v>
      </c>
      <c r="L51" t="s">
        <v>497</v>
      </c>
      <c r="M51" t="s">
        <v>498</v>
      </c>
      <c r="N51" t="s">
        <v>33</v>
      </c>
      <c r="O51" t="s">
        <v>381</v>
      </c>
      <c r="P51" t="s">
        <v>382</v>
      </c>
      <c r="R51" t="s">
        <v>499</v>
      </c>
      <c r="S51" t="s">
        <v>384</v>
      </c>
    </row>
    <row r="52" spans="1:19" x14ac:dyDescent="0.35">
      <c r="A52" t="s">
        <v>500</v>
      </c>
      <c r="B52" t="s">
        <v>140</v>
      </c>
      <c r="C52" t="s">
        <v>223</v>
      </c>
      <c r="D52" t="s">
        <v>501</v>
      </c>
      <c r="E52" t="s">
        <v>502</v>
      </c>
      <c r="F52" t="s">
        <v>249</v>
      </c>
      <c r="G52" t="s">
        <v>26</v>
      </c>
      <c r="H52" t="s">
        <v>227</v>
      </c>
      <c r="I52" t="s">
        <v>503</v>
      </c>
      <c r="J52" t="s">
        <v>504</v>
      </c>
      <c r="K52" t="s">
        <v>505</v>
      </c>
      <c r="L52" t="s">
        <v>506</v>
      </c>
      <c r="N52" t="s">
        <v>232</v>
      </c>
      <c r="R52" t="s">
        <v>507</v>
      </c>
      <c r="S52" t="s">
        <v>384</v>
      </c>
    </row>
    <row r="53" spans="1:19" x14ac:dyDescent="0.35">
      <c r="A53" t="s">
        <v>508</v>
      </c>
      <c r="B53" t="s">
        <v>140</v>
      </c>
      <c r="C53" t="s">
        <v>223</v>
      </c>
      <c r="D53" t="s">
        <v>509</v>
      </c>
      <c r="E53" t="s">
        <v>510</v>
      </c>
      <c r="F53" t="s">
        <v>493</v>
      </c>
      <c r="G53" t="s">
        <v>55</v>
      </c>
      <c r="H53" t="s">
        <v>227</v>
      </c>
      <c r="I53" t="s">
        <v>511</v>
      </c>
      <c r="J53" t="s">
        <v>512</v>
      </c>
      <c r="K53" t="s">
        <v>513</v>
      </c>
      <c r="L53" t="s">
        <v>514</v>
      </c>
      <c r="N53" t="s">
        <v>232</v>
      </c>
      <c r="R53" t="s">
        <v>515</v>
      </c>
      <c r="S53" t="s">
        <v>384</v>
      </c>
    </row>
    <row r="54" spans="1:19" x14ac:dyDescent="0.35">
      <c r="A54" t="s">
        <v>516</v>
      </c>
      <c r="B54" t="s">
        <v>140</v>
      </c>
      <c r="C54" t="s">
        <v>223</v>
      </c>
      <c r="D54" t="s">
        <v>517</v>
      </c>
      <c r="E54" t="s">
        <v>518</v>
      </c>
      <c r="F54" t="s">
        <v>519</v>
      </c>
      <c r="G54" t="s">
        <v>55</v>
      </c>
      <c r="H54" t="s">
        <v>227</v>
      </c>
      <c r="I54" t="s">
        <v>520</v>
      </c>
      <c r="J54" t="s">
        <v>521</v>
      </c>
      <c r="K54" t="s">
        <v>522</v>
      </c>
      <c r="L54" t="s">
        <v>523</v>
      </c>
      <c r="N54" t="s">
        <v>232</v>
      </c>
      <c r="R54" t="s">
        <v>524</v>
      </c>
      <c r="S54" t="s">
        <v>384</v>
      </c>
    </row>
    <row r="55" spans="1:19" x14ac:dyDescent="0.35">
      <c r="A55" t="s">
        <v>525</v>
      </c>
      <c r="B55" t="s">
        <v>140</v>
      </c>
      <c r="C55" t="s">
        <v>223</v>
      </c>
      <c r="D55" t="s">
        <v>526</v>
      </c>
      <c r="E55" t="s">
        <v>527</v>
      </c>
      <c r="F55" t="s">
        <v>528</v>
      </c>
      <c r="G55" t="s">
        <v>529</v>
      </c>
      <c r="H55" t="s">
        <v>227</v>
      </c>
      <c r="I55" t="s">
        <v>530</v>
      </c>
      <c r="J55" t="s">
        <v>531</v>
      </c>
      <c r="K55" t="s">
        <v>532</v>
      </c>
      <c r="L55" t="s">
        <v>533</v>
      </c>
      <c r="N55" t="s">
        <v>232</v>
      </c>
      <c r="R55" t="s">
        <v>534</v>
      </c>
      <c r="S55" t="s">
        <v>384</v>
      </c>
    </row>
    <row r="56" spans="1:19" x14ac:dyDescent="0.35">
      <c r="A56" t="s">
        <v>535</v>
      </c>
      <c r="B56" t="s">
        <v>210</v>
      </c>
      <c r="C56" t="s">
        <v>267</v>
      </c>
      <c r="D56" t="s">
        <v>536</v>
      </c>
      <c r="E56" t="s">
        <v>537</v>
      </c>
      <c r="F56" t="s">
        <v>424</v>
      </c>
      <c r="G56" t="s">
        <v>55</v>
      </c>
      <c r="H56" t="s">
        <v>227</v>
      </c>
      <c r="I56" t="s">
        <v>538</v>
      </c>
      <c r="J56" t="s">
        <v>539</v>
      </c>
      <c r="K56" t="s">
        <v>540</v>
      </c>
      <c r="L56" t="s">
        <v>541</v>
      </c>
      <c r="N56" t="s">
        <v>232</v>
      </c>
      <c r="R56" t="s">
        <v>542</v>
      </c>
      <c r="S56" t="s">
        <v>384</v>
      </c>
    </row>
    <row r="57" spans="1:19" x14ac:dyDescent="0.35">
      <c r="A57" t="s">
        <v>543</v>
      </c>
      <c r="B57" t="s">
        <v>210</v>
      </c>
      <c r="C57" t="s">
        <v>267</v>
      </c>
      <c r="D57" t="s">
        <v>544</v>
      </c>
      <c r="E57" t="s">
        <v>545</v>
      </c>
      <c r="F57" t="s">
        <v>546</v>
      </c>
      <c r="G57" t="s">
        <v>55</v>
      </c>
      <c r="H57" t="s">
        <v>227</v>
      </c>
      <c r="I57" t="s">
        <v>547</v>
      </c>
      <c r="J57" t="s">
        <v>548</v>
      </c>
      <c r="K57" t="s">
        <v>549</v>
      </c>
      <c r="L57" t="s">
        <v>550</v>
      </c>
      <c r="N57" t="s">
        <v>232</v>
      </c>
      <c r="R57" t="s">
        <v>551</v>
      </c>
      <c r="S57" t="s">
        <v>384</v>
      </c>
    </row>
    <row r="58" spans="1:19" x14ac:dyDescent="0.35">
      <c r="A58" t="s">
        <v>552</v>
      </c>
      <c r="B58" t="s">
        <v>210</v>
      </c>
      <c r="C58" t="s">
        <v>267</v>
      </c>
      <c r="D58" t="s">
        <v>553</v>
      </c>
      <c r="E58" t="s">
        <v>554</v>
      </c>
      <c r="F58" t="s">
        <v>286</v>
      </c>
      <c r="G58" t="s">
        <v>55</v>
      </c>
      <c r="H58" t="s">
        <v>27</v>
      </c>
      <c r="I58" t="s">
        <v>547</v>
      </c>
      <c r="J58" t="s">
        <v>555</v>
      </c>
      <c r="K58" t="s">
        <v>556</v>
      </c>
      <c r="L58" t="s">
        <v>557</v>
      </c>
      <c r="M58" t="s">
        <v>558</v>
      </c>
      <c r="N58" t="s">
        <v>33</v>
      </c>
      <c r="O58" t="s">
        <v>381</v>
      </c>
      <c r="P58" t="s">
        <v>382</v>
      </c>
      <c r="R58" t="s">
        <v>559</v>
      </c>
      <c r="S58" t="s">
        <v>384</v>
      </c>
    </row>
    <row r="59" spans="1:19" x14ac:dyDescent="0.35">
      <c r="A59" t="s">
        <v>560</v>
      </c>
      <c r="B59" t="s">
        <v>210</v>
      </c>
      <c r="C59" t="s">
        <v>293</v>
      </c>
      <c r="D59" t="s">
        <v>561</v>
      </c>
      <c r="E59" t="s">
        <v>562</v>
      </c>
      <c r="F59" t="s">
        <v>249</v>
      </c>
      <c r="G59" t="s">
        <v>26</v>
      </c>
      <c r="H59" t="s">
        <v>227</v>
      </c>
      <c r="I59" t="s">
        <v>563</v>
      </c>
      <c r="J59" t="s">
        <v>564</v>
      </c>
      <c r="K59" t="s">
        <v>565</v>
      </c>
      <c r="L59" t="s">
        <v>566</v>
      </c>
      <c r="N59" t="s">
        <v>232</v>
      </c>
      <c r="R59" t="s">
        <v>567</v>
      </c>
      <c r="S59" t="s">
        <v>384</v>
      </c>
    </row>
    <row r="60" spans="1:19" x14ac:dyDescent="0.35">
      <c r="A60" t="s">
        <v>568</v>
      </c>
      <c r="B60" t="s">
        <v>210</v>
      </c>
      <c r="C60" t="s">
        <v>267</v>
      </c>
      <c r="D60" t="s">
        <v>569</v>
      </c>
      <c r="E60" t="s">
        <v>570</v>
      </c>
      <c r="F60" t="s">
        <v>519</v>
      </c>
      <c r="G60" t="s">
        <v>55</v>
      </c>
      <c r="H60" t="s">
        <v>227</v>
      </c>
      <c r="I60" t="s">
        <v>571</v>
      </c>
      <c r="J60" t="s">
        <v>572</v>
      </c>
      <c r="K60" t="s">
        <v>573</v>
      </c>
      <c r="L60" t="s">
        <v>574</v>
      </c>
      <c r="N60" t="s">
        <v>232</v>
      </c>
      <c r="R60" t="s">
        <v>575</v>
      </c>
      <c r="S60" t="s">
        <v>384</v>
      </c>
    </row>
    <row r="61" spans="1:19" x14ac:dyDescent="0.35">
      <c r="A61" t="s">
        <v>576</v>
      </c>
      <c r="B61" t="s">
        <v>210</v>
      </c>
      <c r="C61" t="s">
        <v>267</v>
      </c>
      <c r="D61" t="s">
        <v>577</v>
      </c>
      <c r="E61" t="s">
        <v>578</v>
      </c>
      <c r="F61" t="s">
        <v>579</v>
      </c>
      <c r="G61" t="s">
        <v>55</v>
      </c>
      <c r="H61" t="s">
        <v>227</v>
      </c>
      <c r="I61" t="s">
        <v>580</v>
      </c>
      <c r="J61" t="s">
        <v>581</v>
      </c>
      <c r="K61" t="s">
        <v>582</v>
      </c>
      <c r="L61" t="s">
        <v>583</v>
      </c>
      <c r="N61" t="s">
        <v>232</v>
      </c>
      <c r="R61" t="s">
        <v>584</v>
      </c>
      <c r="S61" t="s">
        <v>384</v>
      </c>
    </row>
    <row r="62" spans="1:19" x14ac:dyDescent="0.35">
      <c r="A62" t="s">
        <v>585</v>
      </c>
      <c r="B62" t="s">
        <v>210</v>
      </c>
      <c r="C62" t="s">
        <v>293</v>
      </c>
      <c r="D62" t="s">
        <v>586</v>
      </c>
      <c r="E62" t="s">
        <v>587</v>
      </c>
      <c r="F62" t="s">
        <v>528</v>
      </c>
      <c r="G62" t="s">
        <v>529</v>
      </c>
      <c r="H62" t="s">
        <v>27</v>
      </c>
      <c r="I62" t="s">
        <v>588</v>
      </c>
      <c r="J62" t="s">
        <v>589</v>
      </c>
      <c r="K62" t="s">
        <v>590</v>
      </c>
      <c r="L62" t="s">
        <v>591</v>
      </c>
      <c r="M62" t="s">
        <v>592</v>
      </c>
      <c r="N62" t="s">
        <v>232</v>
      </c>
      <c r="O62" t="s">
        <v>381</v>
      </c>
      <c r="P62" t="s">
        <v>382</v>
      </c>
      <c r="R62" t="s">
        <v>593</v>
      </c>
      <c r="S62" t="s">
        <v>384</v>
      </c>
    </row>
    <row r="63" spans="1:19" x14ac:dyDescent="0.35">
      <c r="A63" t="s">
        <v>594</v>
      </c>
      <c r="B63" t="s">
        <v>21</v>
      </c>
      <c r="C63" t="s">
        <v>90</v>
      </c>
      <c r="D63" t="s">
        <v>595</v>
      </c>
      <c r="E63" t="s">
        <v>596</v>
      </c>
      <c r="F63" t="s">
        <v>226</v>
      </c>
      <c r="G63" t="s">
        <v>55</v>
      </c>
      <c r="H63" t="s">
        <v>27</v>
      </c>
      <c r="I63" t="s">
        <v>597</v>
      </c>
      <c r="J63" t="s">
        <v>598</v>
      </c>
      <c r="K63" t="s">
        <v>599</v>
      </c>
      <c r="L63" t="s">
        <v>600</v>
      </c>
      <c r="N63" t="s">
        <v>232</v>
      </c>
      <c r="S63" t="s">
        <v>601</v>
      </c>
    </row>
    <row r="64" spans="1:19" x14ac:dyDescent="0.35">
      <c r="A64" t="s">
        <v>602</v>
      </c>
      <c r="B64" t="s">
        <v>21</v>
      </c>
      <c r="C64" t="s">
        <v>90</v>
      </c>
      <c r="D64" t="s">
        <v>603</v>
      </c>
      <c r="E64" t="s">
        <v>604</v>
      </c>
      <c r="F64" t="s">
        <v>249</v>
      </c>
      <c r="G64" t="s">
        <v>55</v>
      </c>
      <c r="H64" t="s">
        <v>27</v>
      </c>
      <c r="I64" t="s">
        <v>605</v>
      </c>
      <c r="J64" t="s">
        <v>606</v>
      </c>
      <c r="K64" t="s">
        <v>607</v>
      </c>
      <c r="L64" t="s">
        <v>608</v>
      </c>
      <c r="N64" t="s">
        <v>232</v>
      </c>
      <c r="S64" t="s">
        <v>601</v>
      </c>
    </row>
    <row r="65" spans="1:19" x14ac:dyDescent="0.35">
      <c r="A65" t="s">
        <v>609</v>
      </c>
      <c r="B65" t="s">
        <v>21</v>
      </c>
      <c r="C65" t="s">
        <v>90</v>
      </c>
      <c r="D65" t="s">
        <v>610</v>
      </c>
      <c r="E65" t="s">
        <v>611</v>
      </c>
      <c r="F65" t="s">
        <v>612</v>
      </c>
      <c r="G65" t="s">
        <v>529</v>
      </c>
      <c r="H65" t="s">
        <v>227</v>
      </c>
      <c r="I65" t="s">
        <v>613</v>
      </c>
      <c r="J65" t="s">
        <v>614</v>
      </c>
      <c r="K65" t="s">
        <v>615</v>
      </c>
      <c r="L65" t="s">
        <v>616</v>
      </c>
      <c r="N65" t="s">
        <v>232</v>
      </c>
      <c r="S65" t="s">
        <v>601</v>
      </c>
    </row>
    <row r="66" spans="1:19" x14ac:dyDescent="0.35">
      <c r="A66" t="s">
        <v>617</v>
      </c>
      <c r="B66" t="s">
        <v>21</v>
      </c>
      <c r="C66" t="s">
        <v>90</v>
      </c>
      <c r="D66" t="s">
        <v>618</v>
      </c>
      <c r="E66" t="s">
        <v>619</v>
      </c>
      <c r="F66" t="s">
        <v>226</v>
      </c>
      <c r="G66" t="s">
        <v>26</v>
      </c>
      <c r="H66" t="s">
        <v>27</v>
      </c>
      <c r="I66" t="s">
        <v>620</v>
      </c>
      <c r="J66" t="s">
        <v>621</v>
      </c>
      <c r="K66" t="s">
        <v>622</v>
      </c>
      <c r="L66" t="s">
        <v>623</v>
      </c>
      <c r="N66" t="s">
        <v>232</v>
      </c>
      <c r="S66" t="s">
        <v>601</v>
      </c>
    </row>
    <row r="67" spans="1:19" x14ac:dyDescent="0.35">
      <c r="A67" t="s">
        <v>624</v>
      </c>
      <c r="B67" t="s">
        <v>21</v>
      </c>
      <c r="C67" t="s">
        <v>102</v>
      </c>
      <c r="D67" t="s">
        <v>625</v>
      </c>
      <c r="E67" t="s">
        <v>626</v>
      </c>
      <c r="F67" t="s">
        <v>249</v>
      </c>
      <c r="G67" t="s">
        <v>26</v>
      </c>
      <c r="H67" t="s">
        <v>27</v>
      </c>
      <c r="I67" t="s">
        <v>627</v>
      </c>
      <c r="J67" t="s">
        <v>628</v>
      </c>
      <c r="K67" t="s">
        <v>629</v>
      </c>
      <c r="L67" t="s">
        <v>630</v>
      </c>
      <c r="N67" t="s">
        <v>232</v>
      </c>
      <c r="S67" t="s">
        <v>601</v>
      </c>
    </row>
    <row r="68" spans="1:19" x14ac:dyDescent="0.35">
      <c r="A68" t="s">
        <v>631</v>
      </c>
      <c r="B68" t="s">
        <v>21</v>
      </c>
      <c r="C68" t="s">
        <v>102</v>
      </c>
      <c r="D68" t="s">
        <v>632</v>
      </c>
      <c r="E68" t="s">
        <v>633</v>
      </c>
      <c r="F68" t="s">
        <v>249</v>
      </c>
      <c r="G68" t="s">
        <v>55</v>
      </c>
      <c r="H68" t="s">
        <v>27</v>
      </c>
      <c r="I68" t="s">
        <v>634</v>
      </c>
      <c r="J68" t="s">
        <v>635</v>
      </c>
      <c r="K68" t="s">
        <v>636</v>
      </c>
      <c r="L68" t="s">
        <v>637</v>
      </c>
      <c r="N68" t="s">
        <v>232</v>
      </c>
      <c r="S68" t="s">
        <v>601</v>
      </c>
    </row>
    <row r="69" spans="1:19" x14ac:dyDescent="0.35">
      <c r="A69" t="s">
        <v>638</v>
      </c>
      <c r="B69" t="s">
        <v>21</v>
      </c>
      <c r="C69" t="s">
        <v>102</v>
      </c>
      <c r="D69" t="s">
        <v>639</v>
      </c>
      <c r="E69" t="s">
        <v>640</v>
      </c>
      <c r="F69" t="s">
        <v>612</v>
      </c>
      <c r="G69" t="s">
        <v>55</v>
      </c>
      <c r="H69" t="s">
        <v>227</v>
      </c>
      <c r="I69" t="s">
        <v>641</v>
      </c>
      <c r="J69" t="s">
        <v>642</v>
      </c>
      <c r="K69" t="s">
        <v>643</v>
      </c>
      <c r="L69" t="s">
        <v>644</v>
      </c>
      <c r="N69" t="s">
        <v>232</v>
      </c>
      <c r="S69" t="s">
        <v>601</v>
      </c>
    </row>
    <row r="70" spans="1:19" x14ac:dyDescent="0.35">
      <c r="A70" t="s">
        <v>645</v>
      </c>
      <c r="B70" t="s">
        <v>21</v>
      </c>
      <c r="C70" t="s">
        <v>130</v>
      </c>
      <c r="D70" t="s">
        <v>646</v>
      </c>
      <c r="E70" t="s">
        <v>647</v>
      </c>
      <c r="F70" t="s">
        <v>226</v>
      </c>
      <c r="G70" t="s">
        <v>26</v>
      </c>
      <c r="H70" t="s">
        <v>27</v>
      </c>
      <c r="I70" t="s">
        <v>648</v>
      </c>
      <c r="J70" t="s">
        <v>649</v>
      </c>
      <c r="K70" t="s">
        <v>650</v>
      </c>
      <c r="L70" t="s">
        <v>651</v>
      </c>
      <c r="N70" t="s">
        <v>232</v>
      </c>
      <c r="S70" t="s">
        <v>601</v>
      </c>
    </row>
    <row r="71" spans="1:19" x14ac:dyDescent="0.35">
      <c r="A71" t="s">
        <v>652</v>
      </c>
      <c r="B71" t="s">
        <v>21</v>
      </c>
      <c r="C71" t="s">
        <v>130</v>
      </c>
      <c r="D71" t="s">
        <v>653</v>
      </c>
      <c r="E71" t="s">
        <v>654</v>
      </c>
      <c r="F71" t="s">
        <v>226</v>
      </c>
      <c r="G71" t="s">
        <v>55</v>
      </c>
      <c r="H71" t="s">
        <v>27</v>
      </c>
      <c r="I71" t="s">
        <v>655</v>
      </c>
      <c r="J71" t="s">
        <v>656</v>
      </c>
      <c r="K71" t="s">
        <v>657</v>
      </c>
      <c r="L71" t="s">
        <v>658</v>
      </c>
      <c r="N71" t="s">
        <v>232</v>
      </c>
      <c r="S71" t="s">
        <v>601</v>
      </c>
    </row>
    <row r="72" spans="1:19" x14ac:dyDescent="0.35">
      <c r="A72" t="s">
        <v>659</v>
      </c>
      <c r="B72" t="s">
        <v>21</v>
      </c>
      <c r="C72" t="s">
        <v>130</v>
      </c>
      <c r="D72" t="s">
        <v>660</v>
      </c>
      <c r="E72" t="s">
        <v>661</v>
      </c>
      <c r="F72" t="s">
        <v>662</v>
      </c>
      <c r="G72" t="s">
        <v>529</v>
      </c>
      <c r="H72" t="s">
        <v>227</v>
      </c>
      <c r="I72" t="s">
        <v>663</v>
      </c>
      <c r="J72" t="s">
        <v>664</v>
      </c>
      <c r="K72" t="s">
        <v>665</v>
      </c>
      <c r="L72" t="s">
        <v>666</v>
      </c>
      <c r="N72" t="s">
        <v>232</v>
      </c>
      <c r="S72" t="s">
        <v>601</v>
      </c>
    </row>
    <row r="73" spans="1:19" x14ac:dyDescent="0.35">
      <c r="A73" t="s">
        <v>667</v>
      </c>
      <c r="B73" t="s">
        <v>21</v>
      </c>
      <c r="C73" t="s">
        <v>22</v>
      </c>
      <c r="D73" t="s">
        <v>668</v>
      </c>
      <c r="E73" t="s">
        <v>669</v>
      </c>
      <c r="F73" t="s">
        <v>249</v>
      </c>
      <c r="G73" t="s">
        <v>26</v>
      </c>
      <c r="H73" t="s">
        <v>27</v>
      </c>
      <c r="I73" t="s">
        <v>670</v>
      </c>
      <c r="J73" t="s">
        <v>671</v>
      </c>
      <c r="K73" t="s">
        <v>672</v>
      </c>
      <c r="L73" t="s">
        <v>673</v>
      </c>
      <c r="N73" t="s">
        <v>232</v>
      </c>
      <c r="S73" t="s">
        <v>601</v>
      </c>
    </row>
    <row r="74" spans="1:19" x14ac:dyDescent="0.35">
      <c r="A74" t="s">
        <v>674</v>
      </c>
      <c r="B74" t="s">
        <v>21</v>
      </c>
      <c r="C74" t="s">
        <v>22</v>
      </c>
      <c r="D74" t="s">
        <v>675</v>
      </c>
      <c r="E74" t="s">
        <v>676</v>
      </c>
      <c r="F74" t="s">
        <v>249</v>
      </c>
      <c r="G74" t="s">
        <v>55</v>
      </c>
      <c r="H74" t="s">
        <v>227</v>
      </c>
      <c r="I74" t="s">
        <v>677</v>
      </c>
      <c r="J74" t="s">
        <v>678</v>
      </c>
      <c r="K74" t="s">
        <v>679</v>
      </c>
      <c r="L74" t="s">
        <v>680</v>
      </c>
      <c r="N74" t="s">
        <v>232</v>
      </c>
      <c r="S74" t="s">
        <v>601</v>
      </c>
    </row>
    <row r="75" spans="1:19" x14ac:dyDescent="0.35">
      <c r="A75" t="s">
        <v>681</v>
      </c>
      <c r="B75" t="s">
        <v>682</v>
      </c>
      <c r="C75" t="s">
        <v>141</v>
      </c>
      <c r="D75" t="s">
        <v>683</v>
      </c>
      <c r="E75" t="s">
        <v>684</v>
      </c>
      <c r="F75" t="s">
        <v>286</v>
      </c>
      <c r="G75" t="s">
        <v>55</v>
      </c>
      <c r="H75" t="s">
        <v>27</v>
      </c>
      <c r="I75" t="s">
        <v>685</v>
      </c>
      <c r="J75" t="s">
        <v>686</v>
      </c>
      <c r="K75" t="s">
        <v>687</v>
      </c>
      <c r="L75" t="s">
        <v>688</v>
      </c>
      <c r="N75" t="s">
        <v>232</v>
      </c>
      <c r="S75" t="s">
        <v>601</v>
      </c>
    </row>
    <row r="76" spans="1:19" x14ac:dyDescent="0.35">
      <c r="A76" t="s">
        <v>689</v>
      </c>
      <c r="B76" t="s">
        <v>682</v>
      </c>
      <c r="C76" t="s">
        <v>141</v>
      </c>
      <c r="D76" t="s">
        <v>690</v>
      </c>
      <c r="E76" t="s">
        <v>691</v>
      </c>
      <c r="F76" t="s">
        <v>249</v>
      </c>
      <c r="G76" t="s">
        <v>529</v>
      </c>
      <c r="H76" t="s">
        <v>227</v>
      </c>
      <c r="I76" t="s">
        <v>692</v>
      </c>
      <c r="J76" t="s">
        <v>693</v>
      </c>
      <c r="K76" t="s">
        <v>694</v>
      </c>
      <c r="L76" t="s">
        <v>695</v>
      </c>
      <c r="N76" t="s">
        <v>232</v>
      </c>
      <c r="S76" t="s">
        <v>601</v>
      </c>
    </row>
    <row r="77" spans="1:19" x14ac:dyDescent="0.35">
      <c r="A77" t="s">
        <v>696</v>
      </c>
      <c r="B77" t="s">
        <v>682</v>
      </c>
      <c r="C77" t="s">
        <v>141</v>
      </c>
      <c r="D77" t="s">
        <v>697</v>
      </c>
      <c r="E77" t="s">
        <v>698</v>
      </c>
      <c r="F77" t="s">
        <v>226</v>
      </c>
      <c r="G77" t="s">
        <v>55</v>
      </c>
      <c r="H77" t="s">
        <v>27</v>
      </c>
      <c r="I77" t="s">
        <v>699</v>
      </c>
      <c r="J77" t="s">
        <v>700</v>
      </c>
      <c r="K77" t="s">
        <v>701</v>
      </c>
      <c r="L77" t="s">
        <v>702</v>
      </c>
      <c r="N77" t="s">
        <v>232</v>
      </c>
      <c r="S77" t="s">
        <v>601</v>
      </c>
    </row>
    <row r="78" spans="1:19" x14ac:dyDescent="0.35">
      <c r="A78" t="s">
        <v>703</v>
      </c>
      <c r="B78" t="s">
        <v>682</v>
      </c>
      <c r="C78" t="s">
        <v>141</v>
      </c>
      <c r="D78" t="s">
        <v>704</v>
      </c>
      <c r="E78" t="s">
        <v>705</v>
      </c>
      <c r="F78" t="s">
        <v>249</v>
      </c>
      <c r="G78" t="s">
        <v>55</v>
      </c>
      <c r="H78" t="s">
        <v>27</v>
      </c>
      <c r="I78" t="s">
        <v>706</v>
      </c>
      <c r="J78" t="s">
        <v>707</v>
      </c>
      <c r="K78" t="s">
        <v>708</v>
      </c>
      <c r="L78" t="s">
        <v>709</v>
      </c>
      <c r="N78" t="s">
        <v>232</v>
      </c>
      <c r="S78" t="s">
        <v>601</v>
      </c>
    </row>
    <row r="79" spans="1:19" x14ac:dyDescent="0.35">
      <c r="A79" t="s">
        <v>710</v>
      </c>
      <c r="B79" t="s">
        <v>682</v>
      </c>
      <c r="C79" t="s">
        <v>141</v>
      </c>
      <c r="D79" t="s">
        <v>711</v>
      </c>
      <c r="E79" t="s">
        <v>712</v>
      </c>
      <c r="F79" t="s">
        <v>286</v>
      </c>
      <c r="G79" t="s">
        <v>55</v>
      </c>
      <c r="H79" t="s">
        <v>227</v>
      </c>
      <c r="I79" t="s">
        <v>713</v>
      </c>
      <c r="J79" t="s">
        <v>714</v>
      </c>
      <c r="K79" t="s">
        <v>715</v>
      </c>
      <c r="L79" t="s">
        <v>716</v>
      </c>
      <c r="N79" t="s">
        <v>232</v>
      </c>
      <c r="S79" t="s">
        <v>601</v>
      </c>
    </row>
    <row r="80" spans="1:19" x14ac:dyDescent="0.35">
      <c r="A80" t="s">
        <v>717</v>
      </c>
      <c r="B80" t="s">
        <v>682</v>
      </c>
      <c r="C80" t="s">
        <v>141</v>
      </c>
      <c r="D80" t="s">
        <v>718</v>
      </c>
      <c r="E80" t="s">
        <v>719</v>
      </c>
      <c r="F80" t="s">
        <v>662</v>
      </c>
      <c r="G80" t="s">
        <v>55</v>
      </c>
      <c r="H80" t="s">
        <v>27</v>
      </c>
      <c r="I80" t="s">
        <v>720</v>
      </c>
      <c r="J80" t="s">
        <v>721</v>
      </c>
      <c r="K80" t="s">
        <v>722</v>
      </c>
      <c r="L80" t="s">
        <v>723</v>
      </c>
      <c r="N80" t="s">
        <v>232</v>
      </c>
      <c r="S80" t="s">
        <v>601</v>
      </c>
    </row>
    <row r="81" spans="1:19" x14ac:dyDescent="0.35">
      <c r="A81" t="s">
        <v>724</v>
      </c>
      <c r="B81" t="s">
        <v>682</v>
      </c>
      <c r="C81" t="s">
        <v>190</v>
      </c>
      <c r="D81" t="s">
        <v>725</v>
      </c>
      <c r="E81" t="s">
        <v>726</v>
      </c>
      <c r="F81" t="s">
        <v>249</v>
      </c>
      <c r="G81" t="s">
        <v>26</v>
      </c>
      <c r="H81" t="s">
        <v>27</v>
      </c>
      <c r="I81" t="s">
        <v>727</v>
      </c>
      <c r="J81" t="s">
        <v>728</v>
      </c>
      <c r="K81" t="s">
        <v>729</v>
      </c>
      <c r="L81" t="s">
        <v>730</v>
      </c>
      <c r="N81" t="s">
        <v>232</v>
      </c>
      <c r="S81" t="s">
        <v>601</v>
      </c>
    </row>
    <row r="82" spans="1:19" x14ac:dyDescent="0.35">
      <c r="A82" t="s">
        <v>731</v>
      </c>
      <c r="B82" t="s">
        <v>682</v>
      </c>
      <c r="C82" t="s">
        <v>190</v>
      </c>
      <c r="D82" t="s">
        <v>732</v>
      </c>
      <c r="E82" t="s">
        <v>733</v>
      </c>
      <c r="F82" t="s">
        <v>249</v>
      </c>
      <c r="G82" t="s">
        <v>55</v>
      </c>
      <c r="H82" t="s">
        <v>27</v>
      </c>
      <c r="I82" t="s">
        <v>734</v>
      </c>
      <c r="J82" t="s">
        <v>735</v>
      </c>
      <c r="K82" t="s">
        <v>736</v>
      </c>
      <c r="L82" t="s">
        <v>737</v>
      </c>
      <c r="N82" t="s">
        <v>232</v>
      </c>
      <c r="S82" t="s">
        <v>601</v>
      </c>
    </row>
    <row r="83" spans="1:19" x14ac:dyDescent="0.35">
      <c r="A83" t="s">
        <v>738</v>
      </c>
      <c r="B83" t="s">
        <v>682</v>
      </c>
      <c r="C83" t="s">
        <v>190</v>
      </c>
      <c r="D83" t="s">
        <v>739</v>
      </c>
      <c r="E83" t="s">
        <v>740</v>
      </c>
      <c r="F83" t="s">
        <v>662</v>
      </c>
      <c r="G83" t="s">
        <v>26</v>
      </c>
      <c r="H83" t="s">
        <v>27</v>
      </c>
      <c r="I83" t="s">
        <v>741</v>
      </c>
      <c r="J83" t="s">
        <v>742</v>
      </c>
      <c r="K83" t="s">
        <v>743</v>
      </c>
      <c r="L83" t="s">
        <v>744</v>
      </c>
      <c r="N83" t="s">
        <v>232</v>
      </c>
      <c r="S83" t="s">
        <v>601</v>
      </c>
    </row>
    <row r="84" spans="1:19" x14ac:dyDescent="0.35">
      <c r="A84" t="s">
        <v>745</v>
      </c>
      <c r="B84" t="s">
        <v>682</v>
      </c>
      <c r="C84" t="s">
        <v>190</v>
      </c>
      <c r="D84" t="s">
        <v>746</v>
      </c>
      <c r="E84" t="s">
        <v>747</v>
      </c>
      <c r="F84" t="s">
        <v>226</v>
      </c>
      <c r="G84" t="s">
        <v>55</v>
      </c>
      <c r="H84" t="s">
        <v>227</v>
      </c>
      <c r="I84" t="s">
        <v>748</v>
      </c>
      <c r="J84" t="s">
        <v>749</v>
      </c>
      <c r="K84" t="s">
        <v>750</v>
      </c>
      <c r="L84" t="s">
        <v>751</v>
      </c>
      <c r="N84" t="s">
        <v>232</v>
      </c>
      <c r="S84" t="s">
        <v>601</v>
      </c>
    </row>
    <row r="85" spans="1:19" x14ac:dyDescent="0.35">
      <c r="A85" t="s">
        <v>752</v>
      </c>
      <c r="B85" t="s">
        <v>682</v>
      </c>
      <c r="C85" t="s">
        <v>190</v>
      </c>
      <c r="D85" t="s">
        <v>753</v>
      </c>
      <c r="E85" t="s">
        <v>754</v>
      </c>
      <c r="F85" t="s">
        <v>226</v>
      </c>
      <c r="G85" t="s">
        <v>55</v>
      </c>
      <c r="H85" t="s">
        <v>27</v>
      </c>
      <c r="I85" t="s">
        <v>755</v>
      </c>
      <c r="J85" t="s">
        <v>756</v>
      </c>
      <c r="K85" t="s">
        <v>757</v>
      </c>
      <c r="L85" t="s">
        <v>758</v>
      </c>
      <c r="N85" t="s">
        <v>232</v>
      </c>
      <c r="S85" t="s">
        <v>601</v>
      </c>
    </row>
    <row r="86" spans="1:19" x14ac:dyDescent="0.35">
      <c r="A86" t="s">
        <v>759</v>
      </c>
      <c r="B86" t="s">
        <v>682</v>
      </c>
      <c r="C86" t="s">
        <v>223</v>
      </c>
      <c r="D86" t="s">
        <v>760</v>
      </c>
      <c r="E86" t="s">
        <v>761</v>
      </c>
      <c r="F86" t="s">
        <v>286</v>
      </c>
      <c r="G86" t="s">
        <v>55</v>
      </c>
      <c r="H86" t="s">
        <v>227</v>
      </c>
      <c r="I86" t="s">
        <v>762</v>
      </c>
      <c r="J86" t="s">
        <v>763</v>
      </c>
      <c r="K86" t="s">
        <v>764</v>
      </c>
      <c r="L86" t="s">
        <v>765</v>
      </c>
      <c r="N86" t="s">
        <v>232</v>
      </c>
      <c r="S86" t="s">
        <v>601</v>
      </c>
    </row>
    <row r="87" spans="1:19" x14ac:dyDescent="0.35">
      <c r="A87" t="s">
        <v>766</v>
      </c>
      <c r="B87" t="s">
        <v>682</v>
      </c>
      <c r="C87" t="s">
        <v>223</v>
      </c>
      <c r="D87" t="s">
        <v>767</v>
      </c>
      <c r="E87" t="s">
        <v>768</v>
      </c>
      <c r="F87" t="s">
        <v>226</v>
      </c>
      <c r="G87" t="s">
        <v>26</v>
      </c>
      <c r="H87" t="s">
        <v>227</v>
      </c>
      <c r="I87" t="s">
        <v>769</v>
      </c>
      <c r="J87" t="s">
        <v>770</v>
      </c>
      <c r="K87" t="s">
        <v>771</v>
      </c>
      <c r="L87" t="s">
        <v>772</v>
      </c>
      <c r="N87" t="s">
        <v>232</v>
      </c>
      <c r="S87" t="s">
        <v>601</v>
      </c>
    </row>
    <row r="88" spans="1:19" x14ac:dyDescent="0.35">
      <c r="A88" t="s">
        <v>773</v>
      </c>
      <c r="B88" t="s">
        <v>682</v>
      </c>
      <c r="C88" t="s">
        <v>223</v>
      </c>
      <c r="D88" t="s">
        <v>774</v>
      </c>
      <c r="E88" t="s">
        <v>775</v>
      </c>
      <c r="F88" t="s">
        <v>226</v>
      </c>
      <c r="G88" t="s">
        <v>55</v>
      </c>
      <c r="H88" t="s">
        <v>227</v>
      </c>
      <c r="I88" t="s">
        <v>776</v>
      </c>
      <c r="J88" t="s">
        <v>777</v>
      </c>
      <c r="K88" t="s">
        <v>778</v>
      </c>
      <c r="L88" t="s">
        <v>779</v>
      </c>
      <c r="N88" t="s">
        <v>232</v>
      </c>
      <c r="S88" t="s">
        <v>601</v>
      </c>
    </row>
    <row r="89" spans="1:19" x14ac:dyDescent="0.35">
      <c r="A89" t="s">
        <v>780</v>
      </c>
      <c r="B89" t="s">
        <v>682</v>
      </c>
      <c r="C89" t="s">
        <v>223</v>
      </c>
      <c r="D89" t="s">
        <v>781</v>
      </c>
      <c r="E89" t="s">
        <v>782</v>
      </c>
      <c r="F89" t="s">
        <v>662</v>
      </c>
      <c r="G89" t="s">
        <v>55</v>
      </c>
      <c r="H89" t="s">
        <v>227</v>
      </c>
      <c r="I89" t="s">
        <v>783</v>
      </c>
      <c r="J89" t="s">
        <v>784</v>
      </c>
      <c r="K89" t="s">
        <v>785</v>
      </c>
      <c r="L89" t="s">
        <v>786</v>
      </c>
      <c r="N89" t="s">
        <v>232</v>
      </c>
      <c r="S89" t="s">
        <v>601</v>
      </c>
    </row>
    <row r="90" spans="1:19" x14ac:dyDescent="0.35">
      <c r="A90" t="s">
        <v>787</v>
      </c>
      <c r="B90" t="s">
        <v>210</v>
      </c>
      <c r="C90" t="s">
        <v>211</v>
      </c>
      <c r="D90" t="s">
        <v>788</v>
      </c>
      <c r="E90" t="s">
        <v>789</v>
      </c>
      <c r="F90" t="s">
        <v>249</v>
      </c>
      <c r="G90" t="s">
        <v>26</v>
      </c>
      <c r="H90" t="s">
        <v>27</v>
      </c>
      <c r="I90" t="s">
        <v>790</v>
      </c>
      <c r="J90" t="s">
        <v>791</v>
      </c>
      <c r="K90" t="s">
        <v>792</v>
      </c>
      <c r="L90" t="s">
        <v>793</v>
      </c>
      <c r="N90" t="s">
        <v>232</v>
      </c>
      <c r="S90" t="s">
        <v>601</v>
      </c>
    </row>
    <row r="91" spans="1:19" x14ac:dyDescent="0.35">
      <c r="A91" t="s">
        <v>794</v>
      </c>
      <c r="B91" t="s">
        <v>210</v>
      </c>
      <c r="C91" t="s">
        <v>211</v>
      </c>
      <c r="D91" t="s">
        <v>795</v>
      </c>
      <c r="E91" t="s">
        <v>796</v>
      </c>
      <c r="F91" t="s">
        <v>662</v>
      </c>
      <c r="G91" t="s">
        <v>26</v>
      </c>
      <c r="H91" t="s">
        <v>27</v>
      </c>
      <c r="I91" t="s">
        <v>797</v>
      </c>
      <c r="J91" t="s">
        <v>798</v>
      </c>
      <c r="K91" t="s">
        <v>799</v>
      </c>
      <c r="L91" t="s">
        <v>800</v>
      </c>
      <c r="N91" t="s">
        <v>232</v>
      </c>
      <c r="S91" t="s">
        <v>601</v>
      </c>
    </row>
    <row r="92" spans="1:19" x14ac:dyDescent="0.35">
      <c r="A92" t="s">
        <v>801</v>
      </c>
      <c r="B92" t="s">
        <v>210</v>
      </c>
      <c r="C92" t="s">
        <v>211</v>
      </c>
      <c r="D92" t="s">
        <v>802</v>
      </c>
      <c r="E92" t="s">
        <v>803</v>
      </c>
      <c r="F92" t="s">
        <v>226</v>
      </c>
      <c r="G92" t="s">
        <v>26</v>
      </c>
      <c r="H92" t="s">
        <v>27</v>
      </c>
      <c r="I92" t="s">
        <v>804</v>
      </c>
      <c r="J92" t="s">
        <v>805</v>
      </c>
      <c r="K92" t="s">
        <v>806</v>
      </c>
      <c r="L92" t="s">
        <v>807</v>
      </c>
      <c r="N92" t="s">
        <v>232</v>
      </c>
      <c r="S92" t="s">
        <v>601</v>
      </c>
    </row>
    <row r="93" spans="1:19" x14ac:dyDescent="0.35">
      <c r="A93" t="s">
        <v>808</v>
      </c>
      <c r="B93" t="s">
        <v>210</v>
      </c>
      <c r="C93" t="s">
        <v>211</v>
      </c>
      <c r="D93" t="s">
        <v>809</v>
      </c>
      <c r="E93" t="s">
        <v>810</v>
      </c>
      <c r="F93" t="s">
        <v>226</v>
      </c>
      <c r="G93" t="s">
        <v>26</v>
      </c>
      <c r="H93" t="s">
        <v>227</v>
      </c>
      <c r="I93" t="s">
        <v>811</v>
      </c>
      <c r="J93" t="s">
        <v>812</v>
      </c>
      <c r="K93" t="s">
        <v>813</v>
      </c>
      <c r="L93" t="s">
        <v>814</v>
      </c>
      <c r="N93" t="s">
        <v>232</v>
      </c>
      <c r="S93" t="s">
        <v>601</v>
      </c>
    </row>
    <row r="94" spans="1:19" x14ac:dyDescent="0.35">
      <c r="A94" t="s">
        <v>815</v>
      </c>
      <c r="B94" t="s">
        <v>210</v>
      </c>
      <c r="C94" t="s">
        <v>267</v>
      </c>
      <c r="D94" t="s">
        <v>816</v>
      </c>
      <c r="E94" t="s">
        <v>817</v>
      </c>
      <c r="F94" t="s">
        <v>249</v>
      </c>
      <c r="G94" t="s">
        <v>55</v>
      </c>
      <c r="H94" t="s">
        <v>27</v>
      </c>
      <c r="I94" t="s">
        <v>818</v>
      </c>
      <c r="J94" t="s">
        <v>819</v>
      </c>
      <c r="K94" t="s">
        <v>820</v>
      </c>
      <c r="L94" t="s">
        <v>821</v>
      </c>
      <c r="N94" t="s">
        <v>232</v>
      </c>
      <c r="S94" t="s">
        <v>601</v>
      </c>
    </row>
    <row r="95" spans="1:19" x14ac:dyDescent="0.35">
      <c r="A95" t="s">
        <v>822</v>
      </c>
      <c r="B95" t="s">
        <v>210</v>
      </c>
      <c r="C95" t="s">
        <v>267</v>
      </c>
      <c r="D95" t="s">
        <v>823</v>
      </c>
      <c r="E95" t="s">
        <v>824</v>
      </c>
      <c r="F95" t="s">
        <v>286</v>
      </c>
      <c r="G95" t="s">
        <v>26</v>
      </c>
      <c r="H95" t="s">
        <v>227</v>
      </c>
      <c r="I95" t="s">
        <v>825</v>
      </c>
      <c r="J95" t="s">
        <v>826</v>
      </c>
      <c r="K95" t="s">
        <v>827</v>
      </c>
      <c r="L95" t="s">
        <v>828</v>
      </c>
      <c r="N95" t="s">
        <v>232</v>
      </c>
      <c r="S95" t="s">
        <v>601</v>
      </c>
    </row>
    <row r="96" spans="1:19" x14ac:dyDescent="0.35">
      <c r="A96" t="s">
        <v>829</v>
      </c>
      <c r="B96" t="s">
        <v>210</v>
      </c>
      <c r="C96" t="s">
        <v>267</v>
      </c>
      <c r="D96" t="s">
        <v>830</v>
      </c>
      <c r="E96" t="s">
        <v>831</v>
      </c>
      <c r="F96" t="s">
        <v>249</v>
      </c>
      <c r="G96" t="s">
        <v>55</v>
      </c>
      <c r="H96" t="s">
        <v>27</v>
      </c>
      <c r="I96" t="s">
        <v>832</v>
      </c>
      <c r="J96" t="s">
        <v>833</v>
      </c>
      <c r="K96" t="s">
        <v>834</v>
      </c>
      <c r="L96" t="s">
        <v>835</v>
      </c>
      <c r="N96" t="s">
        <v>232</v>
      </c>
      <c r="S96" t="s">
        <v>601</v>
      </c>
    </row>
    <row r="97" spans="1:19" x14ac:dyDescent="0.35">
      <c r="A97" t="s">
        <v>836</v>
      </c>
      <c r="B97" t="s">
        <v>210</v>
      </c>
      <c r="C97" t="s">
        <v>267</v>
      </c>
      <c r="D97" t="s">
        <v>837</v>
      </c>
      <c r="E97" t="s">
        <v>838</v>
      </c>
      <c r="F97" t="s">
        <v>226</v>
      </c>
      <c r="G97" t="s">
        <v>55</v>
      </c>
      <c r="H97" t="s">
        <v>227</v>
      </c>
      <c r="I97" t="s">
        <v>839</v>
      </c>
      <c r="J97" t="s">
        <v>840</v>
      </c>
      <c r="K97" t="s">
        <v>841</v>
      </c>
      <c r="L97" t="s">
        <v>842</v>
      </c>
      <c r="N97" t="s">
        <v>232</v>
      </c>
      <c r="S97" t="s">
        <v>601</v>
      </c>
    </row>
    <row r="98" spans="1:19" x14ac:dyDescent="0.35">
      <c r="A98" t="s">
        <v>843</v>
      </c>
      <c r="B98" t="s">
        <v>210</v>
      </c>
      <c r="C98" t="s">
        <v>293</v>
      </c>
      <c r="D98" t="s">
        <v>844</v>
      </c>
      <c r="E98" t="s">
        <v>845</v>
      </c>
      <c r="F98" t="s">
        <v>286</v>
      </c>
      <c r="G98" t="s">
        <v>55</v>
      </c>
      <c r="H98" t="s">
        <v>27</v>
      </c>
      <c r="I98" t="s">
        <v>846</v>
      </c>
      <c r="J98" t="s">
        <v>847</v>
      </c>
      <c r="K98" t="s">
        <v>848</v>
      </c>
      <c r="L98" t="s">
        <v>849</v>
      </c>
      <c r="N98" t="s">
        <v>232</v>
      </c>
      <c r="S98" t="s">
        <v>601</v>
      </c>
    </row>
    <row r="99" spans="1:19" x14ac:dyDescent="0.35">
      <c r="A99" t="s">
        <v>850</v>
      </c>
      <c r="B99" t="s">
        <v>210</v>
      </c>
      <c r="C99" t="s">
        <v>293</v>
      </c>
      <c r="D99" t="s">
        <v>851</v>
      </c>
      <c r="E99" t="s">
        <v>852</v>
      </c>
      <c r="F99" t="s">
        <v>612</v>
      </c>
      <c r="G99" t="s">
        <v>529</v>
      </c>
      <c r="H99" t="s">
        <v>227</v>
      </c>
      <c r="I99" t="s">
        <v>853</v>
      </c>
      <c r="J99" t="s">
        <v>854</v>
      </c>
      <c r="K99" t="s">
        <v>855</v>
      </c>
      <c r="L99" t="s">
        <v>856</v>
      </c>
      <c r="N99" t="s">
        <v>232</v>
      </c>
      <c r="S99" t="s">
        <v>601</v>
      </c>
    </row>
    <row r="100" spans="1:19" x14ac:dyDescent="0.35">
      <c r="A100" t="s">
        <v>857</v>
      </c>
      <c r="B100" t="s">
        <v>210</v>
      </c>
      <c r="C100" t="s">
        <v>293</v>
      </c>
      <c r="D100" t="s">
        <v>858</v>
      </c>
      <c r="E100" t="s">
        <v>859</v>
      </c>
      <c r="F100" t="s">
        <v>249</v>
      </c>
      <c r="G100" t="s">
        <v>55</v>
      </c>
      <c r="H100" t="s">
        <v>227</v>
      </c>
      <c r="I100" t="s">
        <v>860</v>
      </c>
      <c r="J100" t="s">
        <v>861</v>
      </c>
      <c r="K100" t="s">
        <v>862</v>
      </c>
      <c r="L100" t="s">
        <v>863</v>
      </c>
      <c r="N100" t="s">
        <v>232</v>
      </c>
      <c r="S100" t="s">
        <v>601</v>
      </c>
    </row>
    <row r="101" spans="1:19" x14ac:dyDescent="0.35">
      <c r="A101" t="s">
        <v>864</v>
      </c>
      <c r="B101" t="s">
        <v>210</v>
      </c>
      <c r="C101" t="s">
        <v>293</v>
      </c>
      <c r="D101" t="s">
        <v>865</v>
      </c>
      <c r="E101" t="s">
        <v>866</v>
      </c>
      <c r="F101" t="s">
        <v>226</v>
      </c>
      <c r="G101" t="s">
        <v>529</v>
      </c>
      <c r="H101" t="s">
        <v>227</v>
      </c>
      <c r="I101" t="s">
        <v>867</v>
      </c>
      <c r="J101" t="s">
        <v>868</v>
      </c>
      <c r="K101" t="s">
        <v>869</v>
      </c>
      <c r="L101" t="s">
        <v>870</v>
      </c>
      <c r="N101" t="s">
        <v>232</v>
      </c>
      <c r="S101" t="s">
        <v>601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11"/>
  <sheetViews>
    <sheetView zoomScaleNormal="100" workbookViewId="0"/>
  </sheetViews>
  <sheetFormatPr defaultColWidth="8.6328125" defaultRowHeight="14.5" x14ac:dyDescent="0.35"/>
  <sheetData>
    <row r="1" spans="1:8" x14ac:dyDescent="0.35">
      <c r="A1" t="s">
        <v>871</v>
      </c>
      <c r="B1" t="s">
        <v>872</v>
      </c>
      <c r="C1" t="s">
        <v>873</v>
      </c>
      <c r="D1" t="s">
        <v>874</v>
      </c>
      <c r="E1" t="s">
        <v>875</v>
      </c>
    </row>
    <row r="2" spans="1:8" x14ac:dyDescent="0.35">
      <c r="A2" t="s">
        <v>20</v>
      </c>
      <c r="B2" t="s">
        <v>30</v>
      </c>
      <c r="C2" t="s">
        <v>876</v>
      </c>
      <c r="D2" t="s">
        <v>877</v>
      </c>
      <c r="E2" t="s">
        <v>878</v>
      </c>
    </row>
    <row r="3" spans="1:8" x14ac:dyDescent="0.35">
      <c r="A3" t="s">
        <v>38</v>
      </c>
      <c r="B3" t="s">
        <v>41</v>
      </c>
      <c r="C3" t="s">
        <v>876</v>
      </c>
      <c r="D3" t="s">
        <v>877</v>
      </c>
      <c r="E3" t="s">
        <v>879</v>
      </c>
    </row>
    <row r="5" spans="1:8" x14ac:dyDescent="0.35">
      <c r="A5" t="s">
        <v>880</v>
      </c>
    </row>
    <row r="6" spans="1:8" x14ac:dyDescent="0.35">
      <c r="A6" t="s">
        <v>881</v>
      </c>
      <c r="B6" t="s">
        <v>882</v>
      </c>
      <c r="C6" t="s">
        <v>883</v>
      </c>
      <c r="D6" t="s">
        <v>884</v>
      </c>
      <c r="E6" t="s">
        <v>885</v>
      </c>
      <c r="F6" t="s">
        <v>886</v>
      </c>
      <c r="G6" t="s">
        <v>887</v>
      </c>
      <c r="H6" t="s">
        <v>875</v>
      </c>
    </row>
    <row r="7" spans="1:8" x14ac:dyDescent="0.35">
      <c r="A7" t="s">
        <v>888</v>
      </c>
      <c r="B7" t="s">
        <v>889</v>
      </c>
      <c r="C7">
        <v>100000</v>
      </c>
      <c r="D7" t="s">
        <v>890</v>
      </c>
      <c r="E7">
        <v>110000</v>
      </c>
      <c r="F7">
        <v>50</v>
      </c>
      <c r="G7" t="s">
        <v>891</v>
      </c>
      <c r="H7" t="s">
        <v>892</v>
      </c>
    </row>
    <row r="8" spans="1:8" x14ac:dyDescent="0.35">
      <c r="A8" t="s">
        <v>893</v>
      </c>
      <c r="B8" t="s">
        <v>894</v>
      </c>
      <c r="C8">
        <v>110000</v>
      </c>
      <c r="D8" t="s">
        <v>890</v>
      </c>
      <c r="E8">
        <v>121000</v>
      </c>
      <c r="F8">
        <v>30</v>
      </c>
      <c r="G8" t="s">
        <v>891</v>
      </c>
      <c r="H8" t="s">
        <v>892</v>
      </c>
    </row>
    <row r="9" spans="1:8" x14ac:dyDescent="0.35">
      <c r="A9" t="s">
        <v>895</v>
      </c>
      <c r="B9" t="s">
        <v>896</v>
      </c>
      <c r="C9">
        <v>111000</v>
      </c>
      <c r="D9" t="s">
        <v>890</v>
      </c>
      <c r="E9">
        <v>122100</v>
      </c>
      <c r="F9">
        <v>40</v>
      </c>
      <c r="G9" t="s">
        <v>891</v>
      </c>
      <c r="H9" t="s">
        <v>897</v>
      </c>
    </row>
    <row r="10" spans="1:8" x14ac:dyDescent="0.35">
      <c r="A10" t="s">
        <v>898</v>
      </c>
      <c r="B10" t="s">
        <v>899</v>
      </c>
      <c r="C10">
        <v>111100</v>
      </c>
      <c r="D10" t="s">
        <v>890</v>
      </c>
      <c r="E10">
        <v>122210</v>
      </c>
      <c r="F10">
        <v>89</v>
      </c>
      <c r="G10" t="s">
        <v>891</v>
      </c>
      <c r="H10" t="s">
        <v>892</v>
      </c>
    </row>
    <row r="12" spans="1:8" x14ac:dyDescent="0.35">
      <c r="A12" t="s">
        <v>900</v>
      </c>
    </row>
    <row r="13" spans="1:8" x14ac:dyDescent="0.35">
      <c r="A13" t="s">
        <v>901</v>
      </c>
      <c r="B13" t="s">
        <v>872</v>
      </c>
      <c r="C13" t="s">
        <v>902</v>
      </c>
      <c r="D13" t="s">
        <v>873</v>
      </c>
      <c r="E13" t="s">
        <v>903</v>
      </c>
      <c r="F13" t="s">
        <v>875</v>
      </c>
    </row>
    <row r="14" spans="1:8" x14ac:dyDescent="0.35">
      <c r="A14" t="s">
        <v>904</v>
      </c>
      <c r="B14" t="s">
        <v>905</v>
      </c>
      <c r="C14" t="s">
        <v>906</v>
      </c>
      <c r="D14" t="s">
        <v>907</v>
      </c>
      <c r="E14" t="s">
        <v>908</v>
      </c>
      <c r="F14" t="s">
        <v>909</v>
      </c>
    </row>
    <row r="15" spans="1:8" x14ac:dyDescent="0.35">
      <c r="A15" t="s">
        <v>910</v>
      </c>
      <c r="B15" t="s">
        <v>911</v>
      </c>
      <c r="C15" t="s">
        <v>912</v>
      </c>
      <c r="D15" t="s">
        <v>907</v>
      </c>
      <c r="E15" t="s">
        <v>908</v>
      </c>
      <c r="F15" t="s">
        <v>913</v>
      </c>
    </row>
    <row r="17" spans="1:11" x14ac:dyDescent="0.35">
      <c r="A17" t="s">
        <v>914</v>
      </c>
    </row>
    <row r="18" spans="1:11" x14ac:dyDescent="0.35">
      <c r="A18" t="s">
        <v>915</v>
      </c>
      <c r="B18" t="s">
        <v>916</v>
      </c>
      <c r="C18" t="s">
        <v>917</v>
      </c>
      <c r="D18" t="s">
        <v>918</v>
      </c>
      <c r="E18" t="s">
        <v>883</v>
      </c>
      <c r="F18" t="s">
        <v>919</v>
      </c>
      <c r="G18" t="s">
        <v>920</v>
      </c>
      <c r="H18" t="s">
        <v>921</v>
      </c>
      <c r="I18" t="s">
        <v>903</v>
      </c>
      <c r="J18" t="s">
        <v>922</v>
      </c>
      <c r="K18" t="s">
        <v>17</v>
      </c>
    </row>
    <row r="19" spans="1:11" x14ac:dyDescent="0.35">
      <c r="A19" t="s">
        <v>923</v>
      </c>
      <c r="B19" t="s">
        <v>905</v>
      </c>
      <c r="C19" t="s">
        <v>895</v>
      </c>
      <c r="D19">
        <v>5</v>
      </c>
      <c r="E19">
        <v>111000</v>
      </c>
      <c r="F19">
        <v>555000</v>
      </c>
      <c r="G19">
        <v>55500</v>
      </c>
      <c r="H19">
        <v>610500</v>
      </c>
      <c r="I19" t="s">
        <v>924</v>
      </c>
      <c r="J19">
        <v>35</v>
      </c>
      <c r="K19" t="s">
        <v>925</v>
      </c>
    </row>
    <row r="21" spans="1:11" x14ac:dyDescent="0.35">
      <c r="A21" t="s">
        <v>926</v>
      </c>
    </row>
    <row r="22" spans="1:11" x14ac:dyDescent="0.35">
      <c r="A22" t="s">
        <v>871</v>
      </c>
      <c r="B22" t="s">
        <v>927</v>
      </c>
      <c r="C22" t="s">
        <v>928</v>
      </c>
      <c r="D22" t="s">
        <v>929</v>
      </c>
      <c r="E22" t="s">
        <v>930</v>
      </c>
      <c r="F22" t="s">
        <v>931</v>
      </c>
    </row>
    <row r="23" spans="1:11" x14ac:dyDescent="0.35">
      <c r="A23" t="s">
        <v>222</v>
      </c>
      <c r="B23" t="s">
        <v>932</v>
      </c>
      <c r="C23" t="s">
        <v>933</v>
      </c>
      <c r="D23" t="s">
        <v>934</v>
      </c>
      <c r="E23" t="s">
        <v>935</v>
      </c>
      <c r="F23" t="s">
        <v>936</v>
      </c>
    </row>
    <row r="24" spans="1:11" x14ac:dyDescent="0.35">
      <c r="A24" t="s">
        <v>236</v>
      </c>
      <c r="B24" t="s">
        <v>937</v>
      </c>
      <c r="C24" t="s">
        <v>938</v>
      </c>
      <c r="D24" t="s">
        <v>939</v>
      </c>
      <c r="E24" t="s">
        <v>940</v>
      </c>
      <c r="F24" t="s">
        <v>941</v>
      </c>
    </row>
    <row r="25" spans="1:11" x14ac:dyDescent="0.35">
      <c r="A25" t="s">
        <v>246</v>
      </c>
      <c r="B25" t="s">
        <v>942</v>
      </c>
      <c r="C25" t="s">
        <v>943</v>
      </c>
      <c r="D25" t="s">
        <v>944</v>
      </c>
      <c r="E25" t="s">
        <v>945</v>
      </c>
      <c r="F25" t="s">
        <v>946</v>
      </c>
    </row>
    <row r="26" spans="1:11" x14ac:dyDescent="0.35">
      <c r="A26" t="s">
        <v>256</v>
      </c>
      <c r="B26" t="s">
        <v>947</v>
      </c>
      <c r="C26" t="s">
        <v>943</v>
      </c>
      <c r="D26" t="s">
        <v>948</v>
      </c>
      <c r="E26" t="s">
        <v>949</v>
      </c>
      <c r="F26" t="s">
        <v>950</v>
      </c>
    </row>
    <row r="28" spans="1:11" x14ac:dyDescent="0.35">
      <c r="A28" t="s">
        <v>951</v>
      </c>
    </row>
    <row r="29" spans="1:11" x14ac:dyDescent="0.35">
      <c r="A29" t="s">
        <v>871</v>
      </c>
      <c r="B29" t="s">
        <v>881</v>
      </c>
      <c r="C29" t="s">
        <v>887</v>
      </c>
      <c r="D29" t="s">
        <v>886</v>
      </c>
      <c r="E29" t="s">
        <v>952</v>
      </c>
      <c r="F29" t="s">
        <v>953</v>
      </c>
    </row>
    <row r="30" spans="1:11" x14ac:dyDescent="0.35">
      <c r="A30" t="s">
        <v>266</v>
      </c>
      <c r="B30" t="s">
        <v>893</v>
      </c>
      <c r="C30" t="s">
        <v>891</v>
      </c>
      <c r="D30">
        <v>30</v>
      </c>
      <c r="E30" t="s">
        <v>954</v>
      </c>
      <c r="F30" t="s">
        <v>955</v>
      </c>
    </row>
    <row r="31" spans="1:11" x14ac:dyDescent="0.35">
      <c r="A31" t="s">
        <v>276</v>
      </c>
      <c r="B31" t="s">
        <v>893</v>
      </c>
      <c r="C31" t="s">
        <v>891</v>
      </c>
      <c r="D31">
        <v>40</v>
      </c>
      <c r="E31" t="s">
        <v>956</v>
      </c>
      <c r="F31" t="s">
        <v>957</v>
      </c>
    </row>
    <row r="32" spans="1:11" x14ac:dyDescent="0.35">
      <c r="A32" t="s">
        <v>283</v>
      </c>
      <c r="B32" t="s">
        <v>898</v>
      </c>
      <c r="C32" t="s">
        <v>891</v>
      </c>
      <c r="D32">
        <v>89</v>
      </c>
      <c r="E32" t="s">
        <v>958</v>
      </c>
      <c r="F32" t="s">
        <v>959</v>
      </c>
    </row>
    <row r="33" spans="1:6" x14ac:dyDescent="0.35">
      <c r="A33" t="s">
        <v>292</v>
      </c>
      <c r="B33" t="s">
        <v>895</v>
      </c>
      <c r="C33" t="s">
        <v>891</v>
      </c>
      <c r="D33">
        <v>40</v>
      </c>
      <c r="E33" t="s">
        <v>960</v>
      </c>
      <c r="F33" t="s">
        <v>961</v>
      </c>
    </row>
    <row r="35" spans="1:6" x14ac:dyDescent="0.35">
      <c r="A35" t="s">
        <v>962</v>
      </c>
    </row>
    <row r="36" spans="1:6" x14ac:dyDescent="0.35">
      <c r="A36" t="s">
        <v>871</v>
      </c>
      <c r="B36" t="s">
        <v>927</v>
      </c>
      <c r="C36" t="s">
        <v>928</v>
      </c>
      <c r="D36" t="s">
        <v>929</v>
      </c>
      <c r="E36" t="s">
        <v>930</v>
      </c>
      <c r="F36" t="s">
        <v>931</v>
      </c>
    </row>
    <row r="37" spans="1:6" x14ac:dyDescent="0.35">
      <c r="A37" t="s">
        <v>331</v>
      </c>
      <c r="B37" t="s">
        <v>963</v>
      </c>
      <c r="C37" t="s">
        <v>964</v>
      </c>
      <c r="D37" t="s">
        <v>965</v>
      </c>
      <c r="E37" t="s">
        <v>966</v>
      </c>
      <c r="F37" t="s">
        <v>967</v>
      </c>
    </row>
    <row r="38" spans="1:6" x14ac:dyDescent="0.35">
      <c r="A38" t="s">
        <v>341</v>
      </c>
      <c r="B38" t="s">
        <v>968</v>
      </c>
      <c r="C38" t="s">
        <v>943</v>
      </c>
      <c r="D38" t="s">
        <v>969</v>
      </c>
      <c r="E38" t="s">
        <v>970</v>
      </c>
      <c r="F38" t="s">
        <v>971</v>
      </c>
    </row>
    <row r="40" spans="1:6" x14ac:dyDescent="0.35">
      <c r="A40" t="s">
        <v>972</v>
      </c>
    </row>
    <row r="41" spans="1:6" x14ac:dyDescent="0.35">
      <c r="A41" t="s">
        <v>871</v>
      </c>
      <c r="B41" t="s">
        <v>881</v>
      </c>
      <c r="C41" t="s">
        <v>887</v>
      </c>
      <c r="D41" t="s">
        <v>886</v>
      </c>
      <c r="E41" t="s">
        <v>952</v>
      </c>
      <c r="F41" t="s">
        <v>953</v>
      </c>
    </row>
    <row r="42" spans="1:6" x14ac:dyDescent="0.35">
      <c r="A42" t="s">
        <v>349</v>
      </c>
      <c r="B42" t="s">
        <v>893</v>
      </c>
      <c r="C42" t="s">
        <v>891</v>
      </c>
      <c r="D42">
        <v>40</v>
      </c>
      <c r="E42" t="s">
        <v>973</v>
      </c>
      <c r="F42" t="s">
        <v>974</v>
      </c>
    </row>
    <row r="43" spans="1:6" x14ac:dyDescent="0.35">
      <c r="A43" t="s">
        <v>357</v>
      </c>
      <c r="B43" t="s">
        <v>898</v>
      </c>
      <c r="C43" t="s">
        <v>891</v>
      </c>
      <c r="D43">
        <v>89</v>
      </c>
      <c r="E43" t="s">
        <v>975</v>
      </c>
      <c r="F43" t="s">
        <v>976</v>
      </c>
    </row>
    <row r="44" spans="1:6" x14ac:dyDescent="0.35">
      <c r="A44" t="s">
        <v>365</v>
      </c>
      <c r="B44" t="s">
        <v>895</v>
      </c>
      <c r="C44" t="s">
        <v>891</v>
      </c>
      <c r="D44">
        <v>40</v>
      </c>
      <c r="E44" t="s">
        <v>977</v>
      </c>
      <c r="F44" t="s">
        <v>978</v>
      </c>
    </row>
    <row r="46" spans="1:6" x14ac:dyDescent="0.35">
      <c r="A46" t="s">
        <v>979</v>
      </c>
    </row>
    <row r="47" spans="1:6" x14ac:dyDescent="0.35">
      <c r="A47" t="s">
        <v>871</v>
      </c>
      <c r="B47" t="s">
        <v>1</v>
      </c>
      <c r="C47" t="s">
        <v>980</v>
      </c>
      <c r="D47" t="s">
        <v>981</v>
      </c>
      <c r="E47" t="s">
        <v>982</v>
      </c>
      <c r="F47" t="s">
        <v>875</v>
      </c>
    </row>
    <row r="48" spans="1:6" x14ac:dyDescent="0.35">
      <c r="A48" t="s">
        <v>373</v>
      </c>
      <c r="B48" t="s">
        <v>21</v>
      </c>
      <c r="C48" t="s">
        <v>374</v>
      </c>
      <c r="D48" t="s">
        <v>378</v>
      </c>
      <c r="E48" t="s">
        <v>983</v>
      </c>
      <c r="F48" t="s">
        <v>984</v>
      </c>
    </row>
    <row r="49" spans="1:6" x14ac:dyDescent="0.35">
      <c r="A49" t="s">
        <v>385</v>
      </c>
      <c r="B49" t="s">
        <v>21</v>
      </c>
      <c r="C49" t="s">
        <v>386</v>
      </c>
      <c r="D49" t="s">
        <v>390</v>
      </c>
      <c r="E49" t="s">
        <v>985</v>
      </c>
      <c r="F49" t="s">
        <v>986</v>
      </c>
    </row>
    <row r="50" spans="1:6" x14ac:dyDescent="0.35">
      <c r="A50" t="s">
        <v>394</v>
      </c>
      <c r="B50" t="s">
        <v>21</v>
      </c>
      <c r="C50" t="s">
        <v>395</v>
      </c>
      <c r="D50" t="s">
        <v>398</v>
      </c>
      <c r="E50" t="s">
        <v>987</v>
      </c>
      <c r="F50" t="s">
        <v>402</v>
      </c>
    </row>
    <row r="51" spans="1:6" x14ac:dyDescent="0.35">
      <c r="A51" t="s">
        <v>403</v>
      </c>
      <c r="B51" t="s">
        <v>21</v>
      </c>
      <c r="C51" t="s">
        <v>404</v>
      </c>
      <c r="D51" t="s">
        <v>407</v>
      </c>
      <c r="E51" t="s">
        <v>988</v>
      </c>
      <c r="F51" t="s">
        <v>411</v>
      </c>
    </row>
    <row r="52" spans="1:6" x14ac:dyDescent="0.35">
      <c r="A52" t="s">
        <v>412</v>
      </c>
      <c r="B52" t="s">
        <v>21</v>
      </c>
      <c r="C52" t="s">
        <v>413</v>
      </c>
      <c r="D52" t="s">
        <v>417</v>
      </c>
      <c r="E52" t="s">
        <v>989</v>
      </c>
      <c r="F52" t="s">
        <v>990</v>
      </c>
    </row>
    <row r="53" spans="1:6" x14ac:dyDescent="0.35">
      <c r="A53" t="s">
        <v>421</v>
      </c>
      <c r="B53" t="s">
        <v>21</v>
      </c>
      <c r="C53" t="s">
        <v>422</v>
      </c>
      <c r="D53" t="s">
        <v>427</v>
      </c>
      <c r="E53" t="s">
        <v>991</v>
      </c>
      <c r="F53" t="s">
        <v>431</v>
      </c>
    </row>
    <row r="54" spans="1:6" x14ac:dyDescent="0.35">
      <c r="A54" t="s">
        <v>432</v>
      </c>
      <c r="B54" t="s">
        <v>21</v>
      </c>
      <c r="C54" t="s">
        <v>433</v>
      </c>
      <c r="D54" t="s">
        <v>437</v>
      </c>
      <c r="E54" t="s">
        <v>992</v>
      </c>
      <c r="F54" t="s">
        <v>993</v>
      </c>
    </row>
    <row r="55" spans="1:6" x14ac:dyDescent="0.35">
      <c r="A55" t="s">
        <v>441</v>
      </c>
      <c r="B55" t="s">
        <v>21</v>
      </c>
      <c r="C55" t="s">
        <v>442</v>
      </c>
      <c r="D55" t="s">
        <v>447</v>
      </c>
      <c r="E55" t="s">
        <v>994</v>
      </c>
      <c r="F55" t="s">
        <v>449</v>
      </c>
    </row>
    <row r="56" spans="1:6" x14ac:dyDescent="0.35">
      <c r="A56" t="s">
        <v>450</v>
      </c>
      <c r="B56" t="s">
        <v>140</v>
      </c>
      <c r="C56" t="s">
        <v>451</v>
      </c>
      <c r="D56" t="s">
        <v>455</v>
      </c>
      <c r="E56" t="s">
        <v>995</v>
      </c>
      <c r="F56" t="s">
        <v>457</v>
      </c>
    </row>
    <row r="57" spans="1:6" x14ac:dyDescent="0.35">
      <c r="A57" t="s">
        <v>458</v>
      </c>
      <c r="B57" t="s">
        <v>140</v>
      </c>
      <c r="C57" t="s">
        <v>459</v>
      </c>
      <c r="D57" t="s">
        <v>463</v>
      </c>
      <c r="E57" t="s">
        <v>996</v>
      </c>
      <c r="F57" t="s">
        <v>465</v>
      </c>
    </row>
    <row r="58" spans="1:6" x14ac:dyDescent="0.35">
      <c r="A58" t="s">
        <v>466</v>
      </c>
      <c r="B58" t="s">
        <v>140</v>
      </c>
      <c r="C58" t="s">
        <v>467</v>
      </c>
      <c r="D58" t="s">
        <v>471</v>
      </c>
      <c r="E58" t="s">
        <v>997</v>
      </c>
      <c r="F58" t="s">
        <v>998</v>
      </c>
    </row>
    <row r="59" spans="1:6" x14ac:dyDescent="0.35">
      <c r="A59" t="s">
        <v>475</v>
      </c>
      <c r="B59" t="s">
        <v>140</v>
      </c>
      <c r="C59" t="s">
        <v>476</v>
      </c>
      <c r="D59" t="s">
        <v>479</v>
      </c>
      <c r="E59" t="s">
        <v>999</v>
      </c>
      <c r="F59" t="s">
        <v>1000</v>
      </c>
    </row>
    <row r="60" spans="1:6" x14ac:dyDescent="0.35">
      <c r="A60" t="s">
        <v>483</v>
      </c>
      <c r="B60" t="s">
        <v>140</v>
      </c>
      <c r="C60" t="s">
        <v>484</v>
      </c>
      <c r="D60" t="s">
        <v>487</v>
      </c>
      <c r="E60" t="s">
        <v>1001</v>
      </c>
      <c r="F60" t="s">
        <v>489</v>
      </c>
    </row>
    <row r="61" spans="1:6" x14ac:dyDescent="0.35">
      <c r="A61" t="s">
        <v>490</v>
      </c>
      <c r="B61" t="s">
        <v>140</v>
      </c>
      <c r="C61" t="s">
        <v>491</v>
      </c>
      <c r="D61" t="s">
        <v>496</v>
      </c>
      <c r="E61" t="s">
        <v>1002</v>
      </c>
      <c r="F61" t="s">
        <v>1003</v>
      </c>
    </row>
    <row r="62" spans="1:6" x14ac:dyDescent="0.35">
      <c r="A62" t="s">
        <v>500</v>
      </c>
      <c r="B62" t="s">
        <v>140</v>
      </c>
      <c r="C62" t="s">
        <v>501</v>
      </c>
      <c r="D62" t="s">
        <v>505</v>
      </c>
      <c r="E62" t="s">
        <v>1004</v>
      </c>
      <c r="F62" t="s">
        <v>507</v>
      </c>
    </row>
    <row r="63" spans="1:6" x14ac:dyDescent="0.35">
      <c r="A63" t="s">
        <v>508</v>
      </c>
      <c r="B63" t="s">
        <v>140</v>
      </c>
      <c r="C63" t="s">
        <v>509</v>
      </c>
      <c r="D63" t="s">
        <v>513</v>
      </c>
      <c r="E63" t="s">
        <v>1005</v>
      </c>
      <c r="F63" t="s">
        <v>515</v>
      </c>
    </row>
    <row r="64" spans="1:6" x14ac:dyDescent="0.35">
      <c r="A64" t="s">
        <v>516</v>
      </c>
      <c r="B64" t="s">
        <v>140</v>
      </c>
      <c r="C64" t="s">
        <v>517</v>
      </c>
      <c r="D64" t="s">
        <v>522</v>
      </c>
      <c r="E64" t="s">
        <v>1006</v>
      </c>
      <c r="F64" t="s">
        <v>524</v>
      </c>
    </row>
    <row r="65" spans="1:6" x14ac:dyDescent="0.35">
      <c r="A65" t="s">
        <v>525</v>
      </c>
      <c r="B65" t="s">
        <v>140</v>
      </c>
      <c r="C65" t="s">
        <v>526</v>
      </c>
      <c r="D65" t="s">
        <v>532</v>
      </c>
      <c r="E65" t="s">
        <v>1007</v>
      </c>
      <c r="F65" t="s">
        <v>534</v>
      </c>
    </row>
    <row r="66" spans="1:6" x14ac:dyDescent="0.35">
      <c r="A66" t="s">
        <v>535</v>
      </c>
      <c r="B66" t="s">
        <v>210</v>
      </c>
      <c r="C66" t="s">
        <v>536</v>
      </c>
      <c r="D66" t="s">
        <v>540</v>
      </c>
      <c r="E66" t="s">
        <v>1008</v>
      </c>
      <c r="F66" t="s">
        <v>542</v>
      </c>
    </row>
    <row r="67" spans="1:6" x14ac:dyDescent="0.35">
      <c r="A67" t="s">
        <v>543</v>
      </c>
      <c r="B67" t="s">
        <v>210</v>
      </c>
      <c r="C67" t="s">
        <v>544</v>
      </c>
      <c r="D67" t="s">
        <v>549</v>
      </c>
      <c r="E67" t="s">
        <v>1009</v>
      </c>
      <c r="F67" t="s">
        <v>551</v>
      </c>
    </row>
    <row r="68" spans="1:6" x14ac:dyDescent="0.35">
      <c r="A68" t="s">
        <v>552</v>
      </c>
      <c r="B68" t="s">
        <v>210</v>
      </c>
      <c r="C68" t="s">
        <v>553</v>
      </c>
      <c r="D68" t="s">
        <v>556</v>
      </c>
      <c r="E68" t="s">
        <v>1010</v>
      </c>
      <c r="F68" t="s">
        <v>1011</v>
      </c>
    </row>
    <row r="69" spans="1:6" x14ac:dyDescent="0.35">
      <c r="A69" t="s">
        <v>560</v>
      </c>
      <c r="B69" t="s">
        <v>210</v>
      </c>
      <c r="C69" t="s">
        <v>561</v>
      </c>
      <c r="D69" t="s">
        <v>565</v>
      </c>
      <c r="E69" t="s">
        <v>1012</v>
      </c>
      <c r="F69" t="s">
        <v>567</v>
      </c>
    </row>
    <row r="70" spans="1:6" x14ac:dyDescent="0.35">
      <c r="A70" t="s">
        <v>568</v>
      </c>
      <c r="B70" t="s">
        <v>210</v>
      </c>
      <c r="C70" t="s">
        <v>569</v>
      </c>
      <c r="D70" t="s">
        <v>573</v>
      </c>
      <c r="E70" t="s">
        <v>1013</v>
      </c>
      <c r="F70" t="s">
        <v>575</v>
      </c>
    </row>
    <row r="71" spans="1:6" x14ac:dyDescent="0.35">
      <c r="A71" t="s">
        <v>576</v>
      </c>
      <c r="B71" t="s">
        <v>210</v>
      </c>
      <c r="C71" t="s">
        <v>577</v>
      </c>
      <c r="D71" t="s">
        <v>582</v>
      </c>
      <c r="E71" t="s">
        <v>1014</v>
      </c>
      <c r="F71" t="s">
        <v>584</v>
      </c>
    </row>
    <row r="72" spans="1:6" x14ac:dyDescent="0.35">
      <c r="A72" t="s">
        <v>585</v>
      </c>
      <c r="B72" t="s">
        <v>210</v>
      </c>
      <c r="C72" t="s">
        <v>586</v>
      </c>
      <c r="D72" t="s">
        <v>590</v>
      </c>
      <c r="E72" t="s">
        <v>1015</v>
      </c>
      <c r="F72" t="s">
        <v>1016</v>
      </c>
    </row>
    <row r="73" spans="1:6" x14ac:dyDescent="0.35">
      <c r="A73" t="s">
        <v>594</v>
      </c>
      <c r="B73" t="s">
        <v>21</v>
      </c>
      <c r="C73" t="s">
        <v>595</v>
      </c>
      <c r="D73" t="s">
        <v>599</v>
      </c>
      <c r="E73" t="s">
        <v>600</v>
      </c>
    </row>
    <row r="74" spans="1:6" x14ac:dyDescent="0.35">
      <c r="A74" t="s">
        <v>602</v>
      </c>
      <c r="B74" t="s">
        <v>21</v>
      </c>
      <c r="C74" t="s">
        <v>603</v>
      </c>
      <c r="D74" t="s">
        <v>607</v>
      </c>
      <c r="E74" t="s">
        <v>608</v>
      </c>
    </row>
    <row r="75" spans="1:6" x14ac:dyDescent="0.35">
      <c r="A75" t="s">
        <v>609</v>
      </c>
      <c r="B75" t="s">
        <v>21</v>
      </c>
      <c r="C75" t="s">
        <v>610</v>
      </c>
      <c r="D75" t="s">
        <v>615</v>
      </c>
      <c r="E75" t="s">
        <v>616</v>
      </c>
    </row>
    <row r="76" spans="1:6" x14ac:dyDescent="0.35">
      <c r="A76" t="s">
        <v>617</v>
      </c>
      <c r="B76" t="s">
        <v>21</v>
      </c>
      <c r="C76" t="s">
        <v>618</v>
      </c>
      <c r="D76" t="s">
        <v>622</v>
      </c>
      <c r="E76" t="s">
        <v>623</v>
      </c>
    </row>
    <row r="77" spans="1:6" x14ac:dyDescent="0.35">
      <c r="A77" t="s">
        <v>624</v>
      </c>
      <c r="B77" t="s">
        <v>21</v>
      </c>
      <c r="C77" t="s">
        <v>625</v>
      </c>
      <c r="D77" t="s">
        <v>629</v>
      </c>
      <c r="E77" t="s">
        <v>630</v>
      </c>
    </row>
    <row r="78" spans="1:6" x14ac:dyDescent="0.35">
      <c r="A78" t="s">
        <v>631</v>
      </c>
      <c r="B78" t="s">
        <v>21</v>
      </c>
      <c r="C78" t="s">
        <v>632</v>
      </c>
      <c r="D78" t="s">
        <v>636</v>
      </c>
      <c r="E78" t="s">
        <v>637</v>
      </c>
    </row>
    <row r="79" spans="1:6" x14ac:dyDescent="0.35">
      <c r="A79" t="s">
        <v>638</v>
      </c>
      <c r="B79" t="s">
        <v>21</v>
      </c>
      <c r="C79" t="s">
        <v>639</v>
      </c>
      <c r="D79" t="s">
        <v>643</v>
      </c>
      <c r="E79" t="s">
        <v>644</v>
      </c>
    </row>
    <row r="80" spans="1:6" x14ac:dyDescent="0.35">
      <c r="A80" t="s">
        <v>645</v>
      </c>
      <c r="B80" t="s">
        <v>21</v>
      </c>
      <c r="C80" t="s">
        <v>646</v>
      </c>
      <c r="D80" t="s">
        <v>650</v>
      </c>
      <c r="E80" t="s">
        <v>651</v>
      </c>
    </row>
    <row r="81" spans="1:5" x14ac:dyDescent="0.35">
      <c r="A81" t="s">
        <v>652</v>
      </c>
      <c r="B81" t="s">
        <v>21</v>
      </c>
      <c r="C81" t="s">
        <v>653</v>
      </c>
      <c r="D81" t="s">
        <v>657</v>
      </c>
      <c r="E81" t="s">
        <v>658</v>
      </c>
    </row>
    <row r="82" spans="1:5" x14ac:dyDescent="0.35">
      <c r="A82" t="s">
        <v>659</v>
      </c>
      <c r="B82" t="s">
        <v>21</v>
      </c>
      <c r="C82" t="s">
        <v>660</v>
      </c>
      <c r="D82" t="s">
        <v>665</v>
      </c>
      <c r="E82" t="s">
        <v>666</v>
      </c>
    </row>
    <row r="83" spans="1:5" x14ac:dyDescent="0.35">
      <c r="A83" t="s">
        <v>667</v>
      </c>
      <c r="B83" t="s">
        <v>21</v>
      </c>
      <c r="C83" t="s">
        <v>668</v>
      </c>
      <c r="D83" t="s">
        <v>672</v>
      </c>
      <c r="E83" t="s">
        <v>673</v>
      </c>
    </row>
    <row r="84" spans="1:5" x14ac:dyDescent="0.35">
      <c r="A84" t="s">
        <v>674</v>
      </c>
      <c r="B84" t="s">
        <v>21</v>
      </c>
      <c r="C84" t="s">
        <v>675</v>
      </c>
      <c r="D84" t="s">
        <v>679</v>
      </c>
      <c r="E84" t="s">
        <v>680</v>
      </c>
    </row>
    <row r="85" spans="1:5" x14ac:dyDescent="0.35">
      <c r="A85" t="s">
        <v>681</v>
      </c>
      <c r="B85" t="s">
        <v>682</v>
      </c>
      <c r="C85" t="s">
        <v>683</v>
      </c>
      <c r="D85" t="s">
        <v>687</v>
      </c>
      <c r="E85" t="s">
        <v>688</v>
      </c>
    </row>
    <row r="86" spans="1:5" x14ac:dyDescent="0.35">
      <c r="A86" t="s">
        <v>689</v>
      </c>
      <c r="B86" t="s">
        <v>682</v>
      </c>
      <c r="C86" t="s">
        <v>690</v>
      </c>
      <c r="D86" t="s">
        <v>694</v>
      </c>
      <c r="E86" t="s">
        <v>695</v>
      </c>
    </row>
    <row r="87" spans="1:5" x14ac:dyDescent="0.35">
      <c r="A87" t="s">
        <v>696</v>
      </c>
      <c r="B87" t="s">
        <v>682</v>
      </c>
      <c r="C87" t="s">
        <v>697</v>
      </c>
      <c r="D87" t="s">
        <v>701</v>
      </c>
      <c r="E87" t="s">
        <v>702</v>
      </c>
    </row>
    <row r="88" spans="1:5" x14ac:dyDescent="0.35">
      <c r="A88" t="s">
        <v>703</v>
      </c>
      <c r="B88" t="s">
        <v>682</v>
      </c>
      <c r="C88" t="s">
        <v>704</v>
      </c>
      <c r="D88" t="s">
        <v>708</v>
      </c>
      <c r="E88" t="s">
        <v>709</v>
      </c>
    </row>
    <row r="89" spans="1:5" x14ac:dyDescent="0.35">
      <c r="A89" t="s">
        <v>710</v>
      </c>
      <c r="B89" t="s">
        <v>682</v>
      </c>
      <c r="C89" t="s">
        <v>711</v>
      </c>
      <c r="D89" t="s">
        <v>715</v>
      </c>
      <c r="E89" t="s">
        <v>716</v>
      </c>
    </row>
    <row r="90" spans="1:5" x14ac:dyDescent="0.35">
      <c r="A90" t="s">
        <v>717</v>
      </c>
      <c r="B90" t="s">
        <v>682</v>
      </c>
      <c r="C90" t="s">
        <v>718</v>
      </c>
      <c r="D90" t="s">
        <v>722</v>
      </c>
      <c r="E90" t="s">
        <v>723</v>
      </c>
    </row>
    <row r="91" spans="1:5" x14ac:dyDescent="0.35">
      <c r="A91" t="s">
        <v>724</v>
      </c>
      <c r="B91" t="s">
        <v>682</v>
      </c>
      <c r="C91" t="s">
        <v>725</v>
      </c>
      <c r="D91" t="s">
        <v>729</v>
      </c>
      <c r="E91" t="s">
        <v>730</v>
      </c>
    </row>
    <row r="92" spans="1:5" x14ac:dyDescent="0.35">
      <c r="A92" t="s">
        <v>731</v>
      </c>
      <c r="B92" t="s">
        <v>682</v>
      </c>
      <c r="C92" t="s">
        <v>732</v>
      </c>
      <c r="D92" t="s">
        <v>736</v>
      </c>
      <c r="E92" t="s">
        <v>737</v>
      </c>
    </row>
    <row r="93" spans="1:5" x14ac:dyDescent="0.35">
      <c r="A93" t="s">
        <v>738</v>
      </c>
      <c r="B93" t="s">
        <v>682</v>
      </c>
      <c r="C93" t="s">
        <v>739</v>
      </c>
      <c r="D93" t="s">
        <v>743</v>
      </c>
      <c r="E93" t="s">
        <v>744</v>
      </c>
    </row>
    <row r="94" spans="1:5" x14ac:dyDescent="0.35">
      <c r="A94" t="s">
        <v>745</v>
      </c>
      <c r="B94" t="s">
        <v>682</v>
      </c>
      <c r="C94" t="s">
        <v>746</v>
      </c>
      <c r="D94" t="s">
        <v>750</v>
      </c>
      <c r="E94" t="s">
        <v>751</v>
      </c>
    </row>
    <row r="95" spans="1:5" x14ac:dyDescent="0.35">
      <c r="A95" t="s">
        <v>752</v>
      </c>
      <c r="B95" t="s">
        <v>682</v>
      </c>
      <c r="C95" t="s">
        <v>753</v>
      </c>
      <c r="D95" t="s">
        <v>757</v>
      </c>
      <c r="E95" t="s">
        <v>758</v>
      </c>
    </row>
    <row r="96" spans="1:5" x14ac:dyDescent="0.35">
      <c r="A96" t="s">
        <v>759</v>
      </c>
      <c r="B96" t="s">
        <v>682</v>
      </c>
      <c r="C96" t="s">
        <v>760</v>
      </c>
      <c r="D96" t="s">
        <v>764</v>
      </c>
      <c r="E96" t="s">
        <v>765</v>
      </c>
    </row>
    <row r="97" spans="1:5" x14ac:dyDescent="0.35">
      <c r="A97" t="s">
        <v>766</v>
      </c>
      <c r="B97" t="s">
        <v>682</v>
      </c>
      <c r="C97" t="s">
        <v>767</v>
      </c>
      <c r="D97" t="s">
        <v>771</v>
      </c>
      <c r="E97" t="s">
        <v>772</v>
      </c>
    </row>
    <row r="98" spans="1:5" x14ac:dyDescent="0.35">
      <c r="A98" t="s">
        <v>773</v>
      </c>
      <c r="B98" t="s">
        <v>682</v>
      </c>
      <c r="C98" t="s">
        <v>774</v>
      </c>
      <c r="D98" t="s">
        <v>778</v>
      </c>
      <c r="E98" t="s">
        <v>779</v>
      </c>
    </row>
    <row r="99" spans="1:5" x14ac:dyDescent="0.35">
      <c r="A99" t="s">
        <v>780</v>
      </c>
      <c r="B99" t="s">
        <v>682</v>
      </c>
      <c r="C99" t="s">
        <v>781</v>
      </c>
      <c r="D99" t="s">
        <v>785</v>
      </c>
      <c r="E99" t="s">
        <v>786</v>
      </c>
    </row>
    <row r="100" spans="1:5" x14ac:dyDescent="0.35">
      <c r="A100" t="s">
        <v>787</v>
      </c>
      <c r="B100" t="s">
        <v>210</v>
      </c>
      <c r="C100" t="s">
        <v>788</v>
      </c>
      <c r="D100" t="s">
        <v>792</v>
      </c>
      <c r="E100" t="s">
        <v>793</v>
      </c>
    </row>
    <row r="101" spans="1:5" x14ac:dyDescent="0.35">
      <c r="A101" t="s">
        <v>794</v>
      </c>
      <c r="B101" t="s">
        <v>210</v>
      </c>
      <c r="C101" t="s">
        <v>795</v>
      </c>
      <c r="D101" t="s">
        <v>799</v>
      </c>
      <c r="E101" t="s">
        <v>800</v>
      </c>
    </row>
    <row r="102" spans="1:5" x14ac:dyDescent="0.35">
      <c r="A102" t="s">
        <v>801</v>
      </c>
      <c r="B102" t="s">
        <v>210</v>
      </c>
      <c r="C102" t="s">
        <v>802</v>
      </c>
      <c r="D102" t="s">
        <v>806</v>
      </c>
      <c r="E102" t="s">
        <v>807</v>
      </c>
    </row>
    <row r="103" spans="1:5" x14ac:dyDescent="0.35">
      <c r="A103" t="s">
        <v>808</v>
      </c>
      <c r="B103" t="s">
        <v>210</v>
      </c>
      <c r="C103" t="s">
        <v>809</v>
      </c>
      <c r="D103" t="s">
        <v>813</v>
      </c>
      <c r="E103" t="s">
        <v>814</v>
      </c>
    </row>
    <row r="104" spans="1:5" x14ac:dyDescent="0.35">
      <c r="A104" t="s">
        <v>815</v>
      </c>
      <c r="B104" t="s">
        <v>210</v>
      </c>
      <c r="C104" t="s">
        <v>816</v>
      </c>
      <c r="D104" t="s">
        <v>820</v>
      </c>
      <c r="E104" t="s">
        <v>821</v>
      </c>
    </row>
    <row r="105" spans="1:5" x14ac:dyDescent="0.35">
      <c r="A105" t="s">
        <v>822</v>
      </c>
      <c r="B105" t="s">
        <v>210</v>
      </c>
      <c r="C105" t="s">
        <v>823</v>
      </c>
      <c r="D105" t="s">
        <v>827</v>
      </c>
      <c r="E105" t="s">
        <v>828</v>
      </c>
    </row>
    <row r="106" spans="1:5" x14ac:dyDescent="0.35">
      <c r="A106" t="s">
        <v>829</v>
      </c>
      <c r="B106" t="s">
        <v>210</v>
      </c>
      <c r="C106" t="s">
        <v>830</v>
      </c>
      <c r="D106" t="s">
        <v>834</v>
      </c>
      <c r="E106" t="s">
        <v>835</v>
      </c>
    </row>
    <row r="107" spans="1:5" x14ac:dyDescent="0.35">
      <c r="A107" t="s">
        <v>836</v>
      </c>
      <c r="B107" t="s">
        <v>210</v>
      </c>
      <c r="C107" t="s">
        <v>837</v>
      </c>
      <c r="D107" t="s">
        <v>841</v>
      </c>
      <c r="E107" t="s">
        <v>842</v>
      </c>
    </row>
    <row r="108" spans="1:5" x14ac:dyDescent="0.35">
      <c r="A108" t="s">
        <v>843</v>
      </c>
      <c r="B108" t="s">
        <v>210</v>
      </c>
      <c r="C108" t="s">
        <v>844</v>
      </c>
      <c r="D108" t="s">
        <v>848</v>
      </c>
      <c r="E108" t="s">
        <v>849</v>
      </c>
    </row>
    <row r="109" spans="1:5" x14ac:dyDescent="0.35">
      <c r="A109" t="s">
        <v>850</v>
      </c>
      <c r="B109" t="s">
        <v>210</v>
      </c>
      <c r="C109" t="s">
        <v>851</v>
      </c>
      <c r="D109" t="s">
        <v>855</v>
      </c>
      <c r="E109" t="s">
        <v>856</v>
      </c>
    </row>
    <row r="110" spans="1:5" x14ac:dyDescent="0.35">
      <c r="A110" t="s">
        <v>857</v>
      </c>
      <c r="B110" t="s">
        <v>210</v>
      </c>
      <c r="C110" t="s">
        <v>858</v>
      </c>
      <c r="D110" t="s">
        <v>862</v>
      </c>
      <c r="E110" t="s">
        <v>863</v>
      </c>
    </row>
    <row r="111" spans="1:5" x14ac:dyDescent="0.35">
      <c r="A111" t="s">
        <v>864</v>
      </c>
      <c r="B111" t="s">
        <v>210</v>
      </c>
      <c r="C111" t="s">
        <v>865</v>
      </c>
      <c r="D111" t="s">
        <v>869</v>
      </c>
      <c r="E111" t="s">
        <v>870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zoomScaleNormal="100" workbookViewId="0"/>
  </sheetViews>
  <sheetFormatPr defaultColWidth="8.6328125" defaultRowHeight="14.5" x14ac:dyDescent="0.35"/>
  <sheetData>
    <row r="1" spans="1:14" x14ac:dyDescent="0.35">
      <c r="A1" t="s">
        <v>16</v>
      </c>
      <c r="B1" t="s">
        <v>1017</v>
      </c>
      <c r="C1" t="s">
        <v>1</v>
      </c>
      <c r="D1" t="s">
        <v>1018</v>
      </c>
      <c r="E1" t="s">
        <v>1019</v>
      </c>
      <c r="F1" t="s">
        <v>1020</v>
      </c>
      <c r="G1" t="s">
        <v>1021</v>
      </c>
      <c r="H1" t="s">
        <v>1022</v>
      </c>
      <c r="I1" t="s">
        <v>1023</v>
      </c>
      <c r="J1" t="s">
        <v>1024</v>
      </c>
      <c r="K1" t="s">
        <v>1025</v>
      </c>
      <c r="L1" t="s">
        <v>1026</v>
      </c>
      <c r="M1" t="s">
        <v>1027</v>
      </c>
      <c r="N1" t="s">
        <v>1028</v>
      </c>
    </row>
    <row r="2" spans="1:14" ht="232" customHeight="1" x14ac:dyDescent="0.35">
      <c r="A2" t="s">
        <v>79</v>
      </c>
      <c r="B2" t="s">
        <v>1029</v>
      </c>
      <c r="C2" t="s">
        <v>21</v>
      </c>
      <c r="D2" t="s">
        <v>70</v>
      </c>
      <c r="E2" t="s">
        <v>1030</v>
      </c>
      <c r="F2" s="3" t="s">
        <v>1031</v>
      </c>
      <c r="G2" t="s">
        <v>1032</v>
      </c>
      <c r="H2" t="s">
        <v>1033</v>
      </c>
      <c r="I2" t="s">
        <v>1034</v>
      </c>
      <c r="J2" t="s">
        <v>55</v>
      </c>
      <c r="K2" t="s">
        <v>1035</v>
      </c>
      <c r="L2" t="s">
        <v>1036</v>
      </c>
      <c r="M2" t="s">
        <v>1037</v>
      </c>
      <c r="N2" t="s">
        <v>1038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zoomScaleNormal="100" workbookViewId="0"/>
  </sheetViews>
  <sheetFormatPr defaultColWidth="8.6328125" defaultRowHeight="14.5" x14ac:dyDescent="0.35"/>
  <sheetData>
    <row r="1" spans="1:10" x14ac:dyDescent="0.35">
      <c r="A1" t="s">
        <v>1039</v>
      </c>
      <c r="B1" t="s">
        <v>1040</v>
      </c>
      <c r="C1" t="s">
        <v>1041</v>
      </c>
      <c r="D1" t="s">
        <v>1042</v>
      </c>
      <c r="E1" t="s">
        <v>1043</v>
      </c>
      <c r="F1" t="s">
        <v>1044</v>
      </c>
      <c r="G1" t="s">
        <v>1045</v>
      </c>
      <c r="H1" t="s">
        <v>1046</v>
      </c>
      <c r="I1" t="s">
        <v>1047</v>
      </c>
      <c r="J1" t="s">
        <v>1048</v>
      </c>
    </row>
    <row r="2" spans="1:10" x14ac:dyDescent="0.35">
      <c r="A2">
        <v>1</v>
      </c>
      <c r="B2" t="s">
        <v>1049</v>
      </c>
      <c r="C2" t="s">
        <v>1050</v>
      </c>
      <c r="D2" t="s">
        <v>1051</v>
      </c>
      <c r="E2" t="s">
        <v>1052</v>
      </c>
      <c r="F2" t="s">
        <v>1053</v>
      </c>
      <c r="G2" t="s">
        <v>1054</v>
      </c>
      <c r="H2" t="s">
        <v>1055</v>
      </c>
      <c r="I2" t="s">
        <v>1056</v>
      </c>
      <c r="J2" t="s">
        <v>1057</v>
      </c>
    </row>
    <row r="3" spans="1:10" x14ac:dyDescent="0.35">
      <c r="A3">
        <v>2</v>
      </c>
      <c r="B3" t="s">
        <v>1058</v>
      </c>
      <c r="C3" t="s">
        <v>1059</v>
      </c>
      <c r="D3" t="s">
        <v>1051</v>
      </c>
      <c r="E3" t="s">
        <v>1060</v>
      </c>
      <c r="F3" t="s">
        <v>1061</v>
      </c>
      <c r="G3" t="s">
        <v>1062</v>
      </c>
      <c r="H3" t="s">
        <v>1063</v>
      </c>
      <c r="I3" t="s">
        <v>1064</v>
      </c>
      <c r="J3" t="s">
        <v>1065</v>
      </c>
    </row>
    <row r="4" spans="1:10" x14ac:dyDescent="0.35">
      <c r="A4">
        <v>3</v>
      </c>
      <c r="B4" t="s">
        <v>1058</v>
      </c>
      <c r="C4" t="s">
        <v>1066</v>
      </c>
      <c r="D4" t="s">
        <v>1067</v>
      </c>
      <c r="E4" t="s">
        <v>1068</v>
      </c>
      <c r="F4" t="s">
        <v>1069</v>
      </c>
      <c r="G4" t="s">
        <v>1070</v>
      </c>
      <c r="H4" t="s">
        <v>1063</v>
      </c>
      <c r="I4" t="s">
        <v>1071</v>
      </c>
      <c r="J4" t="s">
        <v>1072</v>
      </c>
    </row>
    <row r="5" spans="1:10" x14ac:dyDescent="0.35">
      <c r="A5">
        <v>4</v>
      </c>
      <c r="B5" t="s">
        <v>1073</v>
      </c>
      <c r="C5" t="s">
        <v>1066</v>
      </c>
      <c r="D5" t="s">
        <v>1067</v>
      </c>
      <c r="E5" t="s">
        <v>1074</v>
      </c>
      <c r="F5" t="s">
        <v>1075</v>
      </c>
      <c r="G5" t="s">
        <v>1076</v>
      </c>
      <c r="H5" t="s">
        <v>1077</v>
      </c>
      <c r="I5" t="s">
        <v>1078</v>
      </c>
      <c r="J5" t="s">
        <v>1079</v>
      </c>
    </row>
    <row r="6" spans="1:10" x14ac:dyDescent="0.35">
      <c r="A6">
        <v>5</v>
      </c>
      <c r="B6" t="s">
        <v>1080</v>
      </c>
      <c r="C6" t="s">
        <v>1081</v>
      </c>
      <c r="D6" t="s">
        <v>1067</v>
      </c>
      <c r="E6" t="s">
        <v>1082</v>
      </c>
      <c r="F6" t="s">
        <v>1083</v>
      </c>
      <c r="G6" t="s">
        <v>1084</v>
      </c>
      <c r="H6" t="s">
        <v>1063</v>
      </c>
      <c r="I6" t="s">
        <v>1085</v>
      </c>
      <c r="J6" t="s">
        <v>1086</v>
      </c>
    </row>
    <row r="7" spans="1:10" x14ac:dyDescent="0.35">
      <c r="A7">
        <v>6</v>
      </c>
      <c r="B7" t="s">
        <v>1037</v>
      </c>
      <c r="C7" t="s">
        <v>1087</v>
      </c>
      <c r="D7" t="s">
        <v>1088</v>
      </c>
      <c r="E7" t="s">
        <v>1089</v>
      </c>
      <c r="F7" t="s">
        <v>1090</v>
      </c>
      <c r="G7" t="s">
        <v>1091</v>
      </c>
      <c r="H7" t="s">
        <v>1092</v>
      </c>
      <c r="I7" t="s">
        <v>1093</v>
      </c>
      <c r="J7" t="s">
        <v>1094</v>
      </c>
    </row>
    <row r="8" spans="1:10" x14ac:dyDescent="0.35">
      <c r="A8">
        <v>7</v>
      </c>
      <c r="B8" t="s">
        <v>1037</v>
      </c>
      <c r="C8" t="s">
        <v>1095</v>
      </c>
      <c r="D8" t="s">
        <v>1096</v>
      </c>
      <c r="E8" t="s">
        <v>1097</v>
      </c>
      <c r="F8" t="s">
        <v>1098</v>
      </c>
    </row>
    <row r="9" spans="1:10" x14ac:dyDescent="0.35">
      <c r="A9">
        <v>8</v>
      </c>
      <c r="B9" t="s">
        <v>1037</v>
      </c>
      <c r="C9" t="s">
        <v>1081</v>
      </c>
      <c r="D9" t="s">
        <v>1099</v>
      </c>
      <c r="E9" t="s">
        <v>1100</v>
      </c>
      <c r="F9" t="s">
        <v>1101</v>
      </c>
      <c r="G9" t="s">
        <v>1102</v>
      </c>
      <c r="H9" t="s">
        <v>1103</v>
      </c>
      <c r="I9" t="s">
        <v>1104</v>
      </c>
      <c r="J9" t="s">
        <v>1105</v>
      </c>
    </row>
    <row r="10" spans="1:10" x14ac:dyDescent="0.35">
      <c r="A10">
        <v>9</v>
      </c>
      <c r="B10" t="s">
        <v>1037</v>
      </c>
      <c r="C10" t="s">
        <v>1106</v>
      </c>
      <c r="D10" t="s">
        <v>1067</v>
      </c>
      <c r="E10" t="s">
        <v>1107</v>
      </c>
      <c r="F10" t="s">
        <v>1108</v>
      </c>
      <c r="G10" t="s">
        <v>1109</v>
      </c>
      <c r="H10" t="s">
        <v>1110</v>
      </c>
      <c r="I10" t="s">
        <v>1111</v>
      </c>
      <c r="J10" t="s">
        <v>1112</v>
      </c>
    </row>
    <row r="11" spans="1:10" x14ac:dyDescent="0.35">
      <c r="A11">
        <v>10</v>
      </c>
      <c r="B11" t="s">
        <v>1037</v>
      </c>
      <c r="C11" t="s">
        <v>1113</v>
      </c>
      <c r="D11" t="s">
        <v>1067</v>
      </c>
      <c r="E11" t="s">
        <v>1114</v>
      </c>
      <c r="F11" t="s">
        <v>1115</v>
      </c>
      <c r="G11" t="s">
        <v>1116</v>
      </c>
      <c r="H11" t="s">
        <v>1117</v>
      </c>
      <c r="I11" t="s">
        <v>1118</v>
      </c>
      <c r="J11" t="s">
        <v>1119</v>
      </c>
    </row>
    <row r="12" spans="1:10" x14ac:dyDescent="0.35">
      <c r="A12">
        <v>11</v>
      </c>
      <c r="B12" t="s">
        <v>1120</v>
      </c>
      <c r="C12" t="s">
        <v>1121</v>
      </c>
      <c r="D12" t="s">
        <v>1067</v>
      </c>
      <c r="E12" t="s">
        <v>1122</v>
      </c>
      <c r="F12" t="s">
        <v>1123</v>
      </c>
      <c r="G12" t="s">
        <v>1124</v>
      </c>
      <c r="H12" t="s">
        <v>1117</v>
      </c>
      <c r="I12" t="s">
        <v>1125</v>
      </c>
      <c r="J12" t="s">
        <v>1126</v>
      </c>
    </row>
    <row r="13" spans="1:10" x14ac:dyDescent="0.35">
      <c r="A13">
        <v>12</v>
      </c>
      <c r="B13" t="s">
        <v>1120</v>
      </c>
      <c r="C13" t="s">
        <v>1081</v>
      </c>
      <c r="D13" t="s">
        <v>1067</v>
      </c>
      <c r="E13" t="s">
        <v>1127</v>
      </c>
      <c r="F13" t="s">
        <v>1128</v>
      </c>
      <c r="G13" t="s">
        <v>1129</v>
      </c>
      <c r="H13" t="s">
        <v>1130</v>
      </c>
      <c r="I13" t="s">
        <v>1131</v>
      </c>
      <c r="J13" t="s">
        <v>1132</v>
      </c>
    </row>
    <row r="14" spans="1:10" x14ac:dyDescent="0.35">
      <c r="A14">
        <v>13</v>
      </c>
      <c r="B14" t="s">
        <v>1120</v>
      </c>
      <c r="C14" t="s">
        <v>1133</v>
      </c>
      <c r="D14" t="s">
        <v>1134</v>
      </c>
      <c r="E14" t="s">
        <v>1135</v>
      </c>
      <c r="F14" t="s">
        <v>1136</v>
      </c>
      <c r="G14" t="s">
        <v>1137</v>
      </c>
      <c r="H14" t="s">
        <v>1138</v>
      </c>
      <c r="I14" t="s">
        <v>1139</v>
      </c>
      <c r="J14" t="s">
        <v>1140</v>
      </c>
    </row>
    <row r="15" spans="1:10" x14ac:dyDescent="0.35">
      <c r="A15">
        <v>14</v>
      </c>
      <c r="B15" t="s">
        <v>34</v>
      </c>
      <c r="C15" t="s">
        <v>1141</v>
      </c>
      <c r="D15" t="s">
        <v>1142</v>
      </c>
      <c r="E15" t="s">
        <v>1143</v>
      </c>
      <c r="F15" t="s">
        <v>1144</v>
      </c>
      <c r="G15" t="s">
        <v>1145</v>
      </c>
      <c r="H15" t="s">
        <v>1063</v>
      </c>
      <c r="I15" t="s">
        <v>1146</v>
      </c>
      <c r="J15" t="s">
        <v>1147</v>
      </c>
    </row>
    <row r="16" spans="1:10" x14ac:dyDescent="0.35">
      <c r="A16">
        <v>15</v>
      </c>
      <c r="B16" t="s">
        <v>34</v>
      </c>
      <c r="C16" t="s">
        <v>1148</v>
      </c>
      <c r="D16" t="s">
        <v>1067</v>
      </c>
      <c r="E16" t="s">
        <v>1149</v>
      </c>
      <c r="F16" t="s">
        <v>1150</v>
      </c>
      <c r="G16" t="s">
        <v>1151</v>
      </c>
      <c r="H16" t="s">
        <v>1138</v>
      </c>
      <c r="I16" t="s">
        <v>1152</v>
      </c>
      <c r="J16" t="s">
        <v>1153</v>
      </c>
    </row>
    <row r="17" spans="1:10" x14ac:dyDescent="0.35">
      <c r="A17">
        <v>16</v>
      </c>
      <c r="B17" t="s">
        <v>34</v>
      </c>
      <c r="C17" t="s">
        <v>1154</v>
      </c>
      <c r="D17" t="s">
        <v>1067</v>
      </c>
      <c r="E17" t="s">
        <v>1155</v>
      </c>
      <c r="F17" t="s">
        <v>1156</v>
      </c>
      <c r="G17" t="s">
        <v>1157</v>
      </c>
      <c r="H17" t="s">
        <v>1158</v>
      </c>
      <c r="I17" t="s">
        <v>1159</v>
      </c>
      <c r="J17" t="s">
        <v>1160</v>
      </c>
    </row>
    <row r="18" spans="1:10" x14ac:dyDescent="0.35">
      <c r="A18">
        <v>17</v>
      </c>
      <c r="B18" t="s">
        <v>34</v>
      </c>
      <c r="C18" t="s">
        <v>1161</v>
      </c>
      <c r="D18" t="s">
        <v>1067</v>
      </c>
      <c r="E18" t="s">
        <v>1162</v>
      </c>
      <c r="F18" t="s">
        <v>1163</v>
      </c>
      <c r="G18" t="s">
        <v>1164</v>
      </c>
      <c r="H18" t="s">
        <v>1138</v>
      </c>
      <c r="I18" t="s">
        <v>1165</v>
      </c>
      <c r="J18" t="s">
        <v>1166</v>
      </c>
    </row>
    <row r="19" spans="1:10" x14ac:dyDescent="0.35">
      <c r="A19">
        <v>18</v>
      </c>
      <c r="B19" t="s">
        <v>310</v>
      </c>
      <c r="C19" t="s">
        <v>1167</v>
      </c>
      <c r="D19" t="s">
        <v>1142</v>
      </c>
      <c r="E19" t="s">
        <v>1168</v>
      </c>
      <c r="F19" t="s">
        <v>1169</v>
      </c>
      <c r="G19" t="s">
        <v>1170</v>
      </c>
      <c r="H19" t="s">
        <v>1138</v>
      </c>
      <c r="I19" t="s">
        <v>1171</v>
      </c>
      <c r="J19" t="s">
        <v>1172</v>
      </c>
    </row>
    <row r="20" spans="1:10" x14ac:dyDescent="0.35">
      <c r="A20">
        <v>19</v>
      </c>
      <c r="B20" t="s">
        <v>310</v>
      </c>
      <c r="C20" t="s">
        <v>1106</v>
      </c>
      <c r="D20" t="s">
        <v>1142</v>
      </c>
      <c r="E20" t="s">
        <v>1173</v>
      </c>
      <c r="F20" t="s">
        <v>1174</v>
      </c>
      <c r="G20" t="s">
        <v>1175</v>
      </c>
      <c r="H20" t="s">
        <v>1138</v>
      </c>
      <c r="I20" t="s">
        <v>1176</v>
      </c>
      <c r="J20" t="s">
        <v>1177</v>
      </c>
    </row>
    <row r="21" spans="1:10" x14ac:dyDescent="0.35">
      <c r="A21">
        <v>20</v>
      </c>
      <c r="B21" t="s">
        <v>310</v>
      </c>
      <c r="C21" t="s">
        <v>1178</v>
      </c>
      <c r="D21" t="s">
        <v>1179</v>
      </c>
      <c r="E21" t="s">
        <v>1180</v>
      </c>
      <c r="F21" t="s">
        <v>1181</v>
      </c>
      <c r="G21" t="s">
        <v>1182</v>
      </c>
      <c r="H21" t="s">
        <v>1138</v>
      </c>
      <c r="I21" t="s">
        <v>1183</v>
      </c>
      <c r="J21" t="s">
        <v>1184</v>
      </c>
    </row>
    <row r="22" spans="1:10" x14ac:dyDescent="0.35">
      <c r="A22">
        <v>21</v>
      </c>
      <c r="B22" t="s">
        <v>310</v>
      </c>
      <c r="C22" t="s">
        <v>1185</v>
      </c>
      <c r="D22" t="s">
        <v>1142</v>
      </c>
      <c r="E22" t="s">
        <v>1186</v>
      </c>
      <c r="F22" t="s">
        <v>1187</v>
      </c>
      <c r="G22" t="s">
        <v>1188</v>
      </c>
      <c r="H22" t="s">
        <v>1138</v>
      </c>
      <c r="I22" t="s">
        <v>1189</v>
      </c>
      <c r="J22" t="s">
        <v>1190</v>
      </c>
    </row>
    <row r="23" spans="1:10" x14ac:dyDescent="0.35">
      <c r="A23">
        <v>22</v>
      </c>
      <c r="B23" t="s">
        <v>310</v>
      </c>
      <c r="C23" t="s">
        <v>1106</v>
      </c>
      <c r="D23" t="s">
        <v>1142</v>
      </c>
      <c r="E23" t="s">
        <v>1191</v>
      </c>
      <c r="F23" t="s">
        <v>1192</v>
      </c>
      <c r="G23" t="s">
        <v>1193</v>
      </c>
      <c r="H23" t="s">
        <v>1117</v>
      </c>
      <c r="I23" t="s">
        <v>1194</v>
      </c>
      <c r="J23" t="s">
        <v>1195</v>
      </c>
    </row>
    <row r="24" spans="1:10" x14ac:dyDescent="0.35">
      <c r="A24">
        <v>23</v>
      </c>
      <c r="B24" t="s">
        <v>310</v>
      </c>
      <c r="C24" t="s">
        <v>1196</v>
      </c>
      <c r="D24" t="s">
        <v>1197</v>
      </c>
      <c r="E24" t="s">
        <v>1198</v>
      </c>
      <c r="F24" t="s">
        <v>1199</v>
      </c>
      <c r="G24" t="s">
        <v>1200</v>
      </c>
      <c r="H24" t="s">
        <v>1201</v>
      </c>
      <c r="I24" t="s">
        <v>1202</v>
      </c>
      <c r="J24" t="s">
        <v>1203</v>
      </c>
    </row>
    <row r="25" spans="1:10" x14ac:dyDescent="0.35">
      <c r="A25">
        <v>24</v>
      </c>
      <c r="B25" t="s">
        <v>381</v>
      </c>
      <c r="C25" t="s">
        <v>1204</v>
      </c>
      <c r="D25" t="s">
        <v>1197</v>
      </c>
      <c r="E25" t="s">
        <v>1205</v>
      </c>
      <c r="F25" t="s">
        <v>1206</v>
      </c>
      <c r="G25" t="s">
        <v>1207</v>
      </c>
      <c r="H25" t="s">
        <v>1208</v>
      </c>
      <c r="I25" t="s">
        <v>1209</v>
      </c>
      <c r="J25" t="s">
        <v>1210</v>
      </c>
    </row>
    <row r="26" spans="1:10" x14ac:dyDescent="0.35">
      <c r="A26">
        <v>25</v>
      </c>
      <c r="B26" t="s">
        <v>381</v>
      </c>
      <c r="C26" t="s">
        <v>1204</v>
      </c>
      <c r="D26" t="s">
        <v>1197</v>
      </c>
      <c r="E26" t="s">
        <v>1211</v>
      </c>
      <c r="F26" t="s">
        <v>1212</v>
      </c>
      <c r="G26" t="s">
        <v>1213</v>
      </c>
      <c r="H26" t="s">
        <v>1138</v>
      </c>
      <c r="I26" t="s">
        <v>1214</v>
      </c>
      <c r="J26" t="s">
        <v>1215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zoomScaleNormal="100" workbookViewId="0"/>
  </sheetViews>
  <sheetFormatPr defaultColWidth="8.6328125" defaultRowHeight="14.5" x14ac:dyDescent="0.35"/>
  <sheetData>
    <row r="1" spans="1:10" x14ac:dyDescent="0.35">
      <c r="A1" t="s">
        <v>1</v>
      </c>
      <c r="B1" t="s">
        <v>2</v>
      </c>
      <c r="C1" t="s">
        <v>1216</v>
      </c>
      <c r="D1" t="s">
        <v>1217</v>
      </c>
      <c r="E1" t="s">
        <v>27</v>
      </c>
      <c r="F1" t="s">
        <v>227</v>
      </c>
      <c r="G1" t="s">
        <v>1218</v>
      </c>
      <c r="H1" t="s">
        <v>1219</v>
      </c>
      <c r="I1" t="s">
        <v>232</v>
      </c>
      <c r="J1" t="s">
        <v>1220</v>
      </c>
    </row>
    <row r="2" spans="1:10" x14ac:dyDescent="0.35">
      <c r="A2" t="s">
        <v>21</v>
      </c>
      <c r="B2" t="s">
        <v>22</v>
      </c>
      <c r="C2" t="s">
        <v>1221</v>
      </c>
      <c r="D2">
        <f>COUNTIF('Test Cases'!$C:$C, B2)</f>
        <v>14</v>
      </c>
      <c r="E2">
        <f>COUNTIFS('Test Cases'!$C:$C, B2, 'Test Cases'!$H:$H, "Auto")</f>
        <v>13</v>
      </c>
      <c r="F2">
        <f>COUNTIFS('Test Cases'!$C:$C, B2, 'Test Cases'!$H:$H, "Manual")</f>
        <v>1</v>
      </c>
      <c r="G2">
        <f>COUNTIFS('Test Cases'!$C:$C, B2, 'Test Cases'!$N:$N, "Pass")</f>
        <v>11</v>
      </c>
      <c r="H2">
        <f>COUNTIFS('Test Cases'!$C:$C, B2, 'Test Cases'!$N:$N, "Fail")</f>
        <v>1</v>
      </c>
      <c r="I2">
        <f>COUNTIFS('Test Cases'!$C:$C, B2, 'Test Cases'!$N:$N, "Not Run")</f>
        <v>2</v>
      </c>
      <c r="J2" s="4">
        <f t="shared" ref="J2:J15" si="0">IF(D2&gt;0, G2/D2, 0)</f>
        <v>0.7857142857142857</v>
      </c>
    </row>
    <row r="3" spans="1:10" x14ac:dyDescent="0.35">
      <c r="A3" t="s">
        <v>21</v>
      </c>
      <c r="B3" t="s">
        <v>90</v>
      </c>
      <c r="C3" t="s">
        <v>1222</v>
      </c>
      <c r="D3">
        <f>COUNTIF('Test Cases'!$C:$C, B3)</f>
        <v>5</v>
      </c>
      <c r="E3">
        <f>COUNTIFS('Test Cases'!$C:$C, B3, 'Test Cases'!$H:$H, "Auto")</f>
        <v>4</v>
      </c>
      <c r="F3">
        <f>COUNTIFS('Test Cases'!$C:$C, B3, 'Test Cases'!$H:$H, "Manual")</f>
        <v>1</v>
      </c>
      <c r="G3">
        <f>COUNTIFS('Test Cases'!$C:$C, B3, 'Test Cases'!$N:$N, "Pass")</f>
        <v>1</v>
      </c>
      <c r="H3">
        <f>COUNTIFS('Test Cases'!$C:$C, B3, 'Test Cases'!$N:$N, "Fail")</f>
        <v>0</v>
      </c>
      <c r="I3">
        <f>COUNTIFS('Test Cases'!$C:$C, B3, 'Test Cases'!$N:$N, "Not Run")</f>
        <v>4</v>
      </c>
      <c r="J3" s="4">
        <f t="shared" si="0"/>
        <v>0.2</v>
      </c>
    </row>
    <row r="4" spans="1:10" x14ac:dyDescent="0.35">
      <c r="A4" t="s">
        <v>21</v>
      </c>
      <c r="B4" t="s">
        <v>102</v>
      </c>
      <c r="C4" t="s">
        <v>1223</v>
      </c>
      <c r="D4">
        <f>COUNTIF('Test Cases'!$C:$C, B4)</f>
        <v>8</v>
      </c>
      <c r="E4">
        <f>COUNTIFS('Test Cases'!$C:$C, B4, 'Test Cases'!$H:$H, "Auto")</f>
        <v>6</v>
      </c>
      <c r="F4">
        <f>COUNTIFS('Test Cases'!$C:$C, B4, 'Test Cases'!$H:$H, "Manual")</f>
        <v>2</v>
      </c>
      <c r="G4">
        <f>COUNTIFS('Test Cases'!$C:$C, B4, 'Test Cases'!$N:$N, "Pass")</f>
        <v>4</v>
      </c>
      <c r="H4">
        <f>COUNTIFS('Test Cases'!$C:$C, B4, 'Test Cases'!$N:$N, "Fail")</f>
        <v>0</v>
      </c>
      <c r="I4">
        <f>COUNTIFS('Test Cases'!$C:$C, B4, 'Test Cases'!$N:$N, "Not Run")</f>
        <v>4</v>
      </c>
      <c r="J4" s="4">
        <f t="shared" si="0"/>
        <v>0.5</v>
      </c>
    </row>
    <row r="5" spans="1:10" x14ac:dyDescent="0.35">
      <c r="A5" t="s">
        <v>21</v>
      </c>
      <c r="B5" t="s">
        <v>130</v>
      </c>
      <c r="C5" t="s">
        <v>1224</v>
      </c>
      <c r="D5">
        <f>COUNTIF('Test Cases'!$C:$C, B5)</f>
        <v>5</v>
      </c>
      <c r="E5">
        <f>COUNTIFS('Test Cases'!$C:$C, B5, 'Test Cases'!$H:$H, "Auto")</f>
        <v>4</v>
      </c>
      <c r="F5">
        <f>COUNTIFS('Test Cases'!$C:$C, B5, 'Test Cases'!$H:$H, "Manual")</f>
        <v>1</v>
      </c>
      <c r="G5">
        <f>COUNTIFS('Test Cases'!$C:$C, B5, 'Test Cases'!$N:$N, "Pass")</f>
        <v>2</v>
      </c>
      <c r="H5">
        <f>COUNTIFS('Test Cases'!$C:$C, B5, 'Test Cases'!$N:$N, "Fail")</f>
        <v>0</v>
      </c>
      <c r="I5">
        <f>COUNTIFS('Test Cases'!$C:$C, B5, 'Test Cases'!$N:$N, "Not Run")</f>
        <v>3</v>
      </c>
      <c r="J5" s="4">
        <f t="shared" si="0"/>
        <v>0.4</v>
      </c>
    </row>
    <row r="6" spans="1:10" x14ac:dyDescent="0.35">
      <c r="A6" s="5" t="s">
        <v>1225</v>
      </c>
      <c r="B6" s="5" t="s">
        <v>1226</v>
      </c>
      <c r="C6" s="5" t="s">
        <v>1227</v>
      </c>
      <c r="D6" s="5">
        <f t="shared" ref="D6:I6" si="1">SUM(D2:D5)</f>
        <v>32</v>
      </c>
      <c r="E6" s="5">
        <f t="shared" si="1"/>
        <v>27</v>
      </c>
      <c r="F6" s="5">
        <f t="shared" si="1"/>
        <v>5</v>
      </c>
      <c r="G6" s="5">
        <f t="shared" si="1"/>
        <v>18</v>
      </c>
      <c r="H6" s="5">
        <f t="shared" si="1"/>
        <v>1</v>
      </c>
      <c r="I6" s="5">
        <f t="shared" si="1"/>
        <v>13</v>
      </c>
      <c r="J6" s="6">
        <f t="shared" si="0"/>
        <v>0.5625</v>
      </c>
    </row>
    <row r="7" spans="1:10" x14ac:dyDescent="0.35">
      <c r="A7" t="s">
        <v>682</v>
      </c>
      <c r="B7" t="s">
        <v>141</v>
      </c>
      <c r="C7" t="s">
        <v>1228</v>
      </c>
      <c r="D7">
        <f>COUNTIF('Test Cases'!$C:$C, B7)</f>
        <v>13</v>
      </c>
      <c r="E7">
        <f>COUNTIFS('Test Cases'!$C:$C, B7, 'Test Cases'!$H:$H, "Auto")</f>
        <v>11</v>
      </c>
      <c r="F7">
        <f>COUNTIFS('Test Cases'!$C:$C, B7, 'Test Cases'!$H:$H, "Manual")</f>
        <v>2</v>
      </c>
      <c r="G7">
        <f>COUNTIFS('Test Cases'!$C:$C, B7, 'Test Cases'!$N:$N, "Pass")</f>
        <v>7</v>
      </c>
      <c r="H7">
        <f>COUNTIFS('Test Cases'!$C:$C, B7, 'Test Cases'!$N:$N, "Fail")</f>
        <v>0</v>
      </c>
      <c r="I7">
        <f>COUNTIFS('Test Cases'!$C:$C, B7, 'Test Cases'!$N:$N, "Not Run")</f>
        <v>6</v>
      </c>
      <c r="J7" s="4">
        <f t="shared" si="0"/>
        <v>0.53846153846153844</v>
      </c>
    </row>
    <row r="8" spans="1:10" x14ac:dyDescent="0.35">
      <c r="A8" t="s">
        <v>682</v>
      </c>
      <c r="B8" t="s">
        <v>190</v>
      </c>
      <c r="C8" t="s">
        <v>1229</v>
      </c>
      <c r="D8">
        <f>COUNTIF('Test Cases'!$C:$C, B8)</f>
        <v>9</v>
      </c>
      <c r="E8">
        <f>COUNTIFS('Test Cases'!$C:$C, B8, 'Test Cases'!$H:$H, "Auto")</f>
        <v>8</v>
      </c>
      <c r="F8">
        <f>COUNTIFS('Test Cases'!$C:$C, B8, 'Test Cases'!$H:$H, "Manual")</f>
        <v>1</v>
      </c>
      <c r="G8">
        <f>COUNTIFS('Test Cases'!$C:$C, B8, 'Test Cases'!$N:$N, "Pass")</f>
        <v>4</v>
      </c>
      <c r="H8">
        <f>COUNTIFS('Test Cases'!$C:$C, B8, 'Test Cases'!$N:$N, "Fail")</f>
        <v>0</v>
      </c>
      <c r="I8">
        <f>COUNTIFS('Test Cases'!$C:$C, B8, 'Test Cases'!$N:$N, "Not Run")</f>
        <v>5</v>
      </c>
      <c r="J8" s="4">
        <f t="shared" si="0"/>
        <v>0.44444444444444442</v>
      </c>
    </row>
    <row r="9" spans="1:10" x14ac:dyDescent="0.35">
      <c r="A9" t="s">
        <v>682</v>
      </c>
      <c r="B9" t="s">
        <v>223</v>
      </c>
      <c r="C9" t="s">
        <v>1230</v>
      </c>
      <c r="D9">
        <f>COUNTIF('Test Cases'!$C:$C, B9)</f>
        <v>19</v>
      </c>
      <c r="E9">
        <f>COUNTIFS('Test Cases'!$C:$C, B9, 'Test Cases'!$H:$H, "Auto")</f>
        <v>2</v>
      </c>
      <c r="F9">
        <f>COUNTIFS('Test Cases'!$C:$C, B9, 'Test Cases'!$H:$H, "Manual")</f>
        <v>17</v>
      </c>
      <c r="G9">
        <f>COUNTIFS('Test Cases'!$C:$C, B9, 'Test Cases'!$N:$N, "Pass")</f>
        <v>2</v>
      </c>
      <c r="H9">
        <f>COUNTIFS('Test Cases'!$C:$C, B9, 'Test Cases'!$N:$N, "Fail")</f>
        <v>0</v>
      </c>
      <c r="I9">
        <f>COUNTIFS('Test Cases'!$C:$C, B9, 'Test Cases'!$N:$N, "Not Run")</f>
        <v>17</v>
      </c>
      <c r="J9" s="4">
        <f t="shared" si="0"/>
        <v>0.10526315789473684</v>
      </c>
    </row>
    <row r="10" spans="1:10" x14ac:dyDescent="0.35">
      <c r="A10" s="5" t="s">
        <v>1231</v>
      </c>
      <c r="B10" s="5" t="s">
        <v>1232</v>
      </c>
      <c r="C10" s="5" t="s">
        <v>1233</v>
      </c>
      <c r="D10" s="5">
        <f t="shared" ref="D10:I10" si="2">SUM(D7:D9)</f>
        <v>41</v>
      </c>
      <c r="E10" s="5">
        <f t="shared" si="2"/>
        <v>21</v>
      </c>
      <c r="F10" s="5">
        <f t="shared" si="2"/>
        <v>20</v>
      </c>
      <c r="G10" s="5">
        <f t="shared" si="2"/>
        <v>13</v>
      </c>
      <c r="H10" s="5">
        <f t="shared" si="2"/>
        <v>0</v>
      </c>
      <c r="I10" s="5">
        <f t="shared" si="2"/>
        <v>28</v>
      </c>
      <c r="J10" s="6">
        <f t="shared" si="0"/>
        <v>0.31707317073170732</v>
      </c>
    </row>
    <row r="11" spans="1:10" x14ac:dyDescent="0.35">
      <c r="A11" t="s">
        <v>210</v>
      </c>
      <c r="B11" t="s">
        <v>211</v>
      </c>
      <c r="C11" t="s">
        <v>1234</v>
      </c>
      <c r="D11">
        <f>COUNTIF('Test Cases'!$C:$C, B11)</f>
        <v>5</v>
      </c>
      <c r="E11">
        <f>COUNTIFS('Test Cases'!$C:$C, B11, 'Test Cases'!$H:$H, "Auto")</f>
        <v>4</v>
      </c>
      <c r="F11">
        <f>COUNTIFS('Test Cases'!$C:$C, B11, 'Test Cases'!$H:$H, "Manual")</f>
        <v>1</v>
      </c>
      <c r="G11">
        <f>COUNTIFS('Test Cases'!$C:$C, B11, 'Test Cases'!$N:$N, "Pass")</f>
        <v>1</v>
      </c>
      <c r="H11">
        <f>COUNTIFS('Test Cases'!$C:$C, B11, 'Test Cases'!$N:$N, "Fail")</f>
        <v>0</v>
      </c>
      <c r="I11">
        <f>COUNTIFS('Test Cases'!$C:$C, B11, 'Test Cases'!$N:$N, "Not Run")</f>
        <v>4</v>
      </c>
      <c r="J11" s="4">
        <f t="shared" si="0"/>
        <v>0.2</v>
      </c>
    </row>
    <row r="12" spans="1:10" x14ac:dyDescent="0.35">
      <c r="A12" t="s">
        <v>210</v>
      </c>
      <c r="B12" t="s">
        <v>267</v>
      </c>
      <c r="C12" t="s">
        <v>268</v>
      </c>
      <c r="D12">
        <f>COUNTIF('Test Cases'!$C:$C, B12)</f>
        <v>14</v>
      </c>
      <c r="E12">
        <f>COUNTIFS('Test Cases'!$C:$C, B12, 'Test Cases'!$H:$H, "Auto")</f>
        <v>3</v>
      </c>
      <c r="F12">
        <f>COUNTIFS('Test Cases'!$C:$C, B12, 'Test Cases'!$H:$H, "Manual")</f>
        <v>11</v>
      </c>
      <c r="G12">
        <f>COUNTIFS('Test Cases'!$C:$C, B12, 'Test Cases'!$N:$N, "Pass")</f>
        <v>1</v>
      </c>
      <c r="H12">
        <f>COUNTIFS('Test Cases'!$C:$C, B12, 'Test Cases'!$N:$N, "Fail")</f>
        <v>0</v>
      </c>
      <c r="I12">
        <f>COUNTIFS('Test Cases'!$C:$C, B12, 'Test Cases'!$N:$N, "Not Run")</f>
        <v>13</v>
      </c>
      <c r="J12" s="4">
        <f t="shared" si="0"/>
        <v>7.1428571428571425E-2</v>
      </c>
    </row>
    <row r="13" spans="1:10" x14ac:dyDescent="0.35">
      <c r="A13" t="s">
        <v>210</v>
      </c>
      <c r="B13" t="s">
        <v>293</v>
      </c>
      <c r="C13" t="s">
        <v>294</v>
      </c>
      <c r="D13">
        <f>COUNTIF('Test Cases'!$C:$C, B13)</f>
        <v>8</v>
      </c>
      <c r="E13">
        <f>COUNTIFS('Test Cases'!$C:$C, B13, 'Test Cases'!$H:$H, "Auto")</f>
        <v>2</v>
      </c>
      <c r="F13">
        <f>COUNTIFS('Test Cases'!$C:$C, B13, 'Test Cases'!$H:$H, "Manual")</f>
        <v>6</v>
      </c>
      <c r="G13">
        <f>COUNTIFS('Test Cases'!$C:$C, B13, 'Test Cases'!$N:$N, "Pass")</f>
        <v>0</v>
      </c>
      <c r="H13">
        <f>COUNTIFS('Test Cases'!$C:$C, B13, 'Test Cases'!$N:$N, "Fail")</f>
        <v>0</v>
      </c>
      <c r="I13">
        <f>COUNTIFS('Test Cases'!$C:$C, B13, 'Test Cases'!$N:$N, "Not Run")</f>
        <v>8</v>
      </c>
      <c r="J13" s="4">
        <f t="shared" si="0"/>
        <v>0</v>
      </c>
    </row>
    <row r="14" spans="1:10" x14ac:dyDescent="0.35">
      <c r="A14" s="5" t="s">
        <v>1235</v>
      </c>
      <c r="B14" s="5" t="s">
        <v>1236</v>
      </c>
      <c r="C14" s="5" t="s">
        <v>1237</v>
      </c>
      <c r="D14" s="5">
        <f t="shared" ref="D14:I14" si="3">SUM(D11:D13)</f>
        <v>27</v>
      </c>
      <c r="E14" s="5">
        <f t="shared" si="3"/>
        <v>9</v>
      </c>
      <c r="F14" s="5">
        <f t="shared" si="3"/>
        <v>18</v>
      </c>
      <c r="G14" s="5">
        <f t="shared" si="3"/>
        <v>2</v>
      </c>
      <c r="H14" s="5">
        <f t="shared" si="3"/>
        <v>0</v>
      </c>
      <c r="I14" s="5">
        <f t="shared" si="3"/>
        <v>25</v>
      </c>
      <c r="J14" s="6">
        <f t="shared" si="0"/>
        <v>7.407407407407407E-2</v>
      </c>
    </row>
    <row r="15" spans="1:10" x14ac:dyDescent="0.35">
      <c r="A15" s="5" t="s">
        <v>1238</v>
      </c>
      <c r="B15" s="5" t="s">
        <v>1239</v>
      </c>
      <c r="C15" s="5" t="s">
        <v>1240</v>
      </c>
      <c r="D15" s="5">
        <f t="shared" ref="D15:I15" si="4">D6+D10+D14</f>
        <v>100</v>
      </c>
      <c r="E15" s="5">
        <f t="shared" si="4"/>
        <v>57</v>
      </c>
      <c r="F15" s="5">
        <f t="shared" si="4"/>
        <v>43</v>
      </c>
      <c r="G15" s="5">
        <f t="shared" si="4"/>
        <v>33</v>
      </c>
      <c r="H15" s="5">
        <f t="shared" si="4"/>
        <v>1</v>
      </c>
      <c r="I15" s="5">
        <f t="shared" si="4"/>
        <v>66</v>
      </c>
      <c r="J15" s="6">
        <f t="shared" si="0"/>
        <v>0.33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1"/>
  <sheetViews>
    <sheetView zoomScaleNormal="100" workbookViewId="0"/>
  </sheetViews>
  <sheetFormatPr defaultColWidth="8.6328125" defaultRowHeight="14.5" x14ac:dyDescent="0.35"/>
  <sheetData>
    <row r="1" spans="1:9" x14ac:dyDescent="0.35">
      <c r="A1" t="s">
        <v>1241</v>
      </c>
      <c r="B1" t="s">
        <v>1242</v>
      </c>
      <c r="C1" t="s">
        <v>2</v>
      </c>
      <c r="D1" t="s">
        <v>1216</v>
      </c>
      <c r="E1" t="s">
        <v>3</v>
      </c>
      <c r="F1" t="s">
        <v>0</v>
      </c>
      <c r="G1" t="s">
        <v>1243</v>
      </c>
      <c r="H1" t="s">
        <v>1244</v>
      </c>
      <c r="I1" t="s">
        <v>1025</v>
      </c>
    </row>
    <row r="2" spans="1:9" x14ac:dyDescent="0.35">
      <c r="A2" t="s">
        <v>1245</v>
      </c>
      <c r="B2" t="s">
        <v>1246</v>
      </c>
      <c r="C2" t="s">
        <v>22</v>
      </c>
      <c r="D2" t="s">
        <v>1221</v>
      </c>
      <c r="E2" t="s">
        <v>23</v>
      </c>
      <c r="F2" t="s">
        <v>20</v>
      </c>
      <c r="G2" t="s">
        <v>24</v>
      </c>
      <c r="H2" t="s">
        <v>27</v>
      </c>
      <c r="I2" t="s">
        <v>33</v>
      </c>
    </row>
    <row r="3" spans="1:9" x14ac:dyDescent="0.35">
      <c r="A3" t="s">
        <v>1245</v>
      </c>
      <c r="B3" t="s">
        <v>1246</v>
      </c>
      <c r="C3" t="s">
        <v>22</v>
      </c>
      <c r="D3" t="s">
        <v>1221</v>
      </c>
      <c r="E3" t="s">
        <v>23</v>
      </c>
      <c r="F3" t="s">
        <v>38</v>
      </c>
      <c r="G3" t="s">
        <v>39</v>
      </c>
      <c r="H3" t="s">
        <v>27</v>
      </c>
      <c r="I3" t="s">
        <v>33</v>
      </c>
    </row>
    <row r="4" spans="1:9" x14ac:dyDescent="0.35">
      <c r="A4" t="s">
        <v>1245</v>
      </c>
      <c r="B4" t="s">
        <v>1246</v>
      </c>
      <c r="C4" t="s">
        <v>22</v>
      </c>
      <c r="D4" t="s">
        <v>1221</v>
      </c>
      <c r="E4" t="s">
        <v>46</v>
      </c>
      <c r="F4" t="s">
        <v>45</v>
      </c>
      <c r="G4" t="s">
        <v>47</v>
      </c>
      <c r="H4" t="s">
        <v>27</v>
      </c>
      <c r="I4" t="s">
        <v>33</v>
      </c>
    </row>
    <row r="5" spans="1:9" x14ac:dyDescent="0.35">
      <c r="A5" t="s">
        <v>1245</v>
      </c>
      <c r="B5" t="s">
        <v>1246</v>
      </c>
      <c r="C5" t="s">
        <v>22</v>
      </c>
      <c r="D5" t="s">
        <v>1221</v>
      </c>
      <c r="E5" t="s">
        <v>46</v>
      </c>
      <c r="F5" t="s">
        <v>53</v>
      </c>
      <c r="G5" t="s">
        <v>54</v>
      </c>
      <c r="H5" t="s">
        <v>27</v>
      </c>
      <c r="I5" t="s">
        <v>33</v>
      </c>
    </row>
    <row r="6" spans="1:9" x14ac:dyDescent="0.35">
      <c r="A6" t="s">
        <v>1245</v>
      </c>
      <c r="B6" t="s">
        <v>1246</v>
      </c>
      <c r="C6" t="s">
        <v>22</v>
      </c>
      <c r="D6" t="s">
        <v>1221</v>
      </c>
      <c r="E6" t="s">
        <v>62</v>
      </c>
      <c r="F6" t="s">
        <v>61</v>
      </c>
      <c r="G6" t="s">
        <v>63</v>
      </c>
      <c r="H6" t="s">
        <v>27</v>
      </c>
      <c r="I6" t="s">
        <v>33</v>
      </c>
    </row>
    <row r="7" spans="1:9" x14ac:dyDescent="0.35">
      <c r="A7" t="s">
        <v>1245</v>
      </c>
      <c r="B7" t="s">
        <v>1246</v>
      </c>
      <c r="C7" t="s">
        <v>22</v>
      </c>
      <c r="D7" t="s">
        <v>1221</v>
      </c>
      <c r="E7" t="s">
        <v>71</v>
      </c>
      <c r="F7" t="s">
        <v>70</v>
      </c>
      <c r="G7" t="s">
        <v>72</v>
      </c>
      <c r="H7" t="s">
        <v>27</v>
      </c>
      <c r="I7" t="s">
        <v>77</v>
      </c>
    </row>
    <row r="8" spans="1:9" x14ac:dyDescent="0.35">
      <c r="A8" t="s">
        <v>1245</v>
      </c>
      <c r="B8" t="s">
        <v>1246</v>
      </c>
      <c r="C8" t="s">
        <v>22</v>
      </c>
      <c r="D8" t="s">
        <v>1221</v>
      </c>
      <c r="E8" t="s">
        <v>82</v>
      </c>
      <c r="F8" t="s">
        <v>81</v>
      </c>
      <c r="G8" t="s">
        <v>83</v>
      </c>
      <c r="H8" t="s">
        <v>27</v>
      </c>
      <c r="I8" t="s">
        <v>33</v>
      </c>
    </row>
    <row r="9" spans="1:9" x14ac:dyDescent="0.35">
      <c r="A9" t="s">
        <v>1245</v>
      </c>
      <c r="B9" t="s">
        <v>1246</v>
      </c>
      <c r="C9" t="s">
        <v>90</v>
      </c>
      <c r="D9" t="s">
        <v>1222</v>
      </c>
      <c r="E9" t="s">
        <v>91</v>
      </c>
      <c r="F9" t="s">
        <v>89</v>
      </c>
      <c r="G9" t="s">
        <v>92</v>
      </c>
      <c r="H9" t="s">
        <v>27</v>
      </c>
      <c r="I9" t="s">
        <v>33</v>
      </c>
    </row>
    <row r="10" spans="1:9" x14ac:dyDescent="0.35">
      <c r="A10" t="s">
        <v>1245</v>
      </c>
      <c r="B10" t="s">
        <v>1246</v>
      </c>
      <c r="C10" t="s">
        <v>102</v>
      </c>
      <c r="D10" t="s">
        <v>1223</v>
      </c>
      <c r="E10" t="s">
        <v>103</v>
      </c>
      <c r="F10" t="s">
        <v>101</v>
      </c>
      <c r="G10" t="s">
        <v>104</v>
      </c>
      <c r="H10" t="s">
        <v>27</v>
      </c>
      <c r="I10" t="s">
        <v>33</v>
      </c>
    </row>
    <row r="11" spans="1:9" x14ac:dyDescent="0.35">
      <c r="A11" t="s">
        <v>1245</v>
      </c>
      <c r="B11" t="s">
        <v>1246</v>
      </c>
      <c r="C11" t="s">
        <v>102</v>
      </c>
      <c r="D11" t="s">
        <v>1223</v>
      </c>
      <c r="E11" t="s">
        <v>112</v>
      </c>
      <c r="F11" t="s">
        <v>111</v>
      </c>
      <c r="G11" t="s">
        <v>113</v>
      </c>
      <c r="H11" t="s">
        <v>27</v>
      </c>
      <c r="I11" t="s">
        <v>33</v>
      </c>
    </row>
    <row r="12" spans="1:9" x14ac:dyDescent="0.35">
      <c r="A12" t="s">
        <v>1245</v>
      </c>
      <c r="B12" t="s">
        <v>1246</v>
      </c>
      <c r="C12" t="s">
        <v>102</v>
      </c>
      <c r="D12" t="s">
        <v>1223</v>
      </c>
      <c r="E12" t="s">
        <v>121</v>
      </c>
      <c r="F12" t="s">
        <v>120</v>
      </c>
      <c r="G12" t="s">
        <v>122</v>
      </c>
      <c r="H12" t="s">
        <v>27</v>
      </c>
      <c r="I12" t="s">
        <v>33</v>
      </c>
    </row>
    <row r="13" spans="1:9" x14ac:dyDescent="0.35">
      <c r="A13" t="s">
        <v>1245</v>
      </c>
      <c r="B13" t="s">
        <v>1246</v>
      </c>
      <c r="C13" t="s">
        <v>130</v>
      </c>
      <c r="D13" t="s">
        <v>1224</v>
      </c>
      <c r="E13" t="s">
        <v>131</v>
      </c>
      <c r="F13" t="s">
        <v>129</v>
      </c>
      <c r="G13" t="s">
        <v>132</v>
      </c>
      <c r="H13" t="s">
        <v>27</v>
      </c>
      <c r="I13" t="s">
        <v>33</v>
      </c>
    </row>
    <row r="14" spans="1:9" x14ac:dyDescent="0.35">
      <c r="A14" t="s">
        <v>151</v>
      </c>
      <c r="B14" t="s">
        <v>1247</v>
      </c>
      <c r="C14" t="s">
        <v>141</v>
      </c>
      <c r="D14" t="s">
        <v>1228</v>
      </c>
      <c r="E14" t="s">
        <v>142</v>
      </c>
      <c r="F14" t="s">
        <v>139</v>
      </c>
      <c r="G14" t="s">
        <v>143</v>
      </c>
      <c r="H14" t="s">
        <v>27</v>
      </c>
      <c r="I14" t="s">
        <v>33</v>
      </c>
    </row>
    <row r="15" spans="1:9" x14ac:dyDescent="0.35">
      <c r="A15" t="s">
        <v>151</v>
      </c>
      <c r="B15" t="s">
        <v>1247</v>
      </c>
      <c r="C15" t="s">
        <v>141</v>
      </c>
      <c r="D15" t="s">
        <v>1228</v>
      </c>
      <c r="E15" t="s">
        <v>153</v>
      </c>
      <c r="F15" t="s">
        <v>152</v>
      </c>
      <c r="G15" t="s">
        <v>154</v>
      </c>
      <c r="H15" t="s">
        <v>27</v>
      </c>
      <c r="I15" t="s">
        <v>33</v>
      </c>
    </row>
    <row r="16" spans="1:9" x14ac:dyDescent="0.35">
      <c r="A16" t="s">
        <v>151</v>
      </c>
      <c r="B16" t="s">
        <v>1247</v>
      </c>
      <c r="C16" t="s">
        <v>141</v>
      </c>
      <c r="D16" t="s">
        <v>1228</v>
      </c>
      <c r="E16" t="s">
        <v>162</v>
      </c>
      <c r="F16" t="s">
        <v>161</v>
      </c>
      <c r="G16" t="s">
        <v>163</v>
      </c>
      <c r="H16" t="s">
        <v>27</v>
      </c>
      <c r="I16" t="s">
        <v>33</v>
      </c>
    </row>
    <row r="17" spans="1:9" x14ac:dyDescent="0.35">
      <c r="A17" t="s">
        <v>151</v>
      </c>
      <c r="B17" t="s">
        <v>1247</v>
      </c>
      <c r="C17" t="s">
        <v>141</v>
      </c>
      <c r="D17" t="s">
        <v>1228</v>
      </c>
      <c r="E17" t="s">
        <v>171</v>
      </c>
      <c r="F17" t="s">
        <v>170</v>
      </c>
      <c r="G17" t="s">
        <v>172</v>
      </c>
      <c r="H17" t="s">
        <v>27</v>
      </c>
      <c r="I17" t="s">
        <v>33</v>
      </c>
    </row>
    <row r="18" spans="1:9" x14ac:dyDescent="0.35">
      <c r="A18" t="s">
        <v>151</v>
      </c>
      <c r="B18" t="s">
        <v>1247</v>
      </c>
      <c r="C18" t="s">
        <v>141</v>
      </c>
      <c r="D18" t="s">
        <v>1228</v>
      </c>
      <c r="E18" t="s">
        <v>181</v>
      </c>
      <c r="F18" t="s">
        <v>180</v>
      </c>
      <c r="G18" t="s">
        <v>182</v>
      </c>
      <c r="H18" t="s">
        <v>27</v>
      </c>
      <c r="I18" t="s">
        <v>33</v>
      </c>
    </row>
    <row r="19" spans="1:9" x14ac:dyDescent="0.35">
      <c r="A19" t="s">
        <v>151</v>
      </c>
      <c r="B19" t="s">
        <v>1247</v>
      </c>
      <c r="C19" t="s">
        <v>190</v>
      </c>
      <c r="D19" t="s">
        <v>1229</v>
      </c>
      <c r="E19" t="s">
        <v>191</v>
      </c>
      <c r="F19" t="s">
        <v>189</v>
      </c>
      <c r="G19" t="s">
        <v>192</v>
      </c>
      <c r="H19" t="s">
        <v>27</v>
      </c>
      <c r="I19" t="s">
        <v>33</v>
      </c>
    </row>
    <row r="20" spans="1:9" x14ac:dyDescent="0.35">
      <c r="A20" t="s">
        <v>151</v>
      </c>
      <c r="B20" t="s">
        <v>1247</v>
      </c>
      <c r="C20" t="s">
        <v>190</v>
      </c>
      <c r="D20" t="s">
        <v>1229</v>
      </c>
      <c r="E20" t="s">
        <v>202</v>
      </c>
      <c r="F20" t="s">
        <v>200</v>
      </c>
      <c r="G20" t="s">
        <v>203</v>
      </c>
      <c r="H20" t="s">
        <v>27</v>
      </c>
      <c r="I20" t="s">
        <v>33</v>
      </c>
    </row>
    <row r="21" spans="1:9" x14ac:dyDescent="0.35">
      <c r="A21" t="s">
        <v>1248</v>
      </c>
      <c r="B21" t="s">
        <v>1249</v>
      </c>
      <c r="C21" t="s">
        <v>211</v>
      </c>
      <c r="D21" t="s">
        <v>1234</v>
      </c>
      <c r="E21" t="s">
        <v>212</v>
      </c>
      <c r="F21" t="s">
        <v>209</v>
      </c>
      <c r="G21" t="s">
        <v>213</v>
      </c>
      <c r="H21" t="s">
        <v>27</v>
      </c>
      <c r="I21" t="s">
        <v>33</v>
      </c>
    </row>
    <row r="22" spans="1:9" x14ac:dyDescent="0.35">
      <c r="A22" t="s">
        <v>151</v>
      </c>
      <c r="B22" t="s">
        <v>1247</v>
      </c>
      <c r="C22" t="s">
        <v>223</v>
      </c>
      <c r="D22" t="s">
        <v>1230</v>
      </c>
      <c r="E22" t="s">
        <v>224</v>
      </c>
      <c r="F22" t="s">
        <v>222</v>
      </c>
      <c r="G22" t="s">
        <v>225</v>
      </c>
      <c r="H22" t="s">
        <v>227</v>
      </c>
      <c r="I22" t="s">
        <v>232</v>
      </c>
    </row>
    <row r="23" spans="1:9" x14ac:dyDescent="0.35">
      <c r="A23" t="s">
        <v>151</v>
      </c>
      <c r="B23" t="s">
        <v>1247</v>
      </c>
      <c r="C23" t="s">
        <v>223</v>
      </c>
      <c r="D23" t="s">
        <v>1230</v>
      </c>
      <c r="E23" t="s">
        <v>237</v>
      </c>
      <c r="F23" t="s">
        <v>236</v>
      </c>
      <c r="G23" t="s">
        <v>238</v>
      </c>
      <c r="H23" t="s">
        <v>227</v>
      </c>
      <c r="I23" t="s">
        <v>232</v>
      </c>
    </row>
    <row r="24" spans="1:9" x14ac:dyDescent="0.35">
      <c r="A24" t="s">
        <v>151</v>
      </c>
      <c r="B24" t="s">
        <v>1247</v>
      </c>
      <c r="C24" t="s">
        <v>223</v>
      </c>
      <c r="D24" t="s">
        <v>1230</v>
      </c>
      <c r="E24" t="s">
        <v>247</v>
      </c>
      <c r="F24" t="s">
        <v>246</v>
      </c>
      <c r="G24" t="s">
        <v>248</v>
      </c>
      <c r="H24" t="s">
        <v>227</v>
      </c>
      <c r="I24" t="s">
        <v>232</v>
      </c>
    </row>
    <row r="25" spans="1:9" x14ac:dyDescent="0.35">
      <c r="A25" t="s">
        <v>151</v>
      </c>
      <c r="B25" t="s">
        <v>1247</v>
      </c>
      <c r="C25" t="s">
        <v>223</v>
      </c>
      <c r="D25" t="s">
        <v>1230</v>
      </c>
      <c r="E25" t="s">
        <v>257</v>
      </c>
      <c r="F25" t="s">
        <v>256</v>
      </c>
      <c r="G25" t="s">
        <v>258</v>
      </c>
      <c r="H25" t="s">
        <v>227</v>
      </c>
      <c r="I25" t="s">
        <v>232</v>
      </c>
    </row>
    <row r="26" spans="1:9" x14ac:dyDescent="0.35">
      <c r="A26" t="s">
        <v>1248</v>
      </c>
      <c r="B26" t="s">
        <v>1249</v>
      </c>
      <c r="C26" t="s">
        <v>267</v>
      </c>
      <c r="D26" t="s">
        <v>268</v>
      </c>
      <c r="E26" t="s">
        <v>268</v>
      </c>
      <c r="F26" t="s">
        <v>266</v>
      </c>
      <c r="G26" t="s">
        <v>269</v>
      </c>
      <c r="H26" t="s">
        <v>227</v>
      </c>
      <c r="I26" t="s">
        <v>232</v>
      </c>
    </row>
    <row r="27" spans="1:9" x14ac:dyDescent="0.35">
      <c r="A27" t="s">
        <v>1248</v>
      </c>
      <c r="B27" t="s">
        <v>1249</v>
      </c>
      <c r="C27" t="s">
        <v>267</v>
      </c>
      <c r="D27" t="s">
        <v>268</v>
      </c>
      <c r="E27" t="s">
        <v>268</v>
      </c>
      <c r="F27" t="s">
        <v>276</v>
      </c>
      <c r="G27" t="s">
        <v>277</v>
      </c>
      <c r="H27" t="s">
        <v>227</v>
      </c>
      <c r="I27" t="s">
        <v>232</v>
      </c>
    </row>
    <row r="28" spans="1:9" x14ac:dyDescent="0.35">
      <c r="A28" t="s">
        <v>1248</v>
      </c>
      <c r="B28" t="s">
        <v>1249</v>
      </c>
      <c r="C28" t="s">
        <v>267</v>
      </c>
      <c r="D28" t="s">
        <v>268</v>
      </c>
      <c r="E28" t="s">
        <v>284</v>
      </c>
      <c r="F28" t="s">
        <v>283</v>
      </c>
      <c r="G28" t="s">
        <v>285</v>
      </c>
      <c r="H28" t="s">
        <v>227</v>
      </c>
      <c r="I28" t="s">
        <v>232</v>
      </c>
    </row>
    <row r="29" spans="1:9" x14ac:dyDescent="0.35">
      <c r="A29" t="s">
        <v>1248</v>
      </c>
      <c r="B29" t="s">
        <v>1249</v>
      </c>
      <c r="C29" t="s">
        <v>293</v>
      </c>
      <c r="D29" t="s">
        <v>294</v>
      </c>
      <c r="E29" t="s">
        <v>294</v>
      </c>
      <c r="F29" t="s">
        <v>292</v>
      </c>
      <c r="G29" t="s">
        <v>295</v>
      </c>
      <c r="H29" t="s">
        <v>227</v>
      </c>
      <c r="I29" t="s">
        <v>232</v>
      </c>
    </row>
    <row r="30" spans="1:9" x14ac:dyDescent="0.35">
      <c r="A30" t="s">
        <v>151</v>
      </c>
      <c r="B30" t="s">
        <v>1247</v>
      </c>
      <c r="C30" t="s">
        <v>141</v>
      </c>
      <c r="D30" t="s">
        <v>1228</v>
      </c>
      <c r="E30" t="s">
        <v>302</v>
      </c>
      <c r="F30" t="s">
        <v>301</v>
      </c>
      <c r="G30" t="s">
        <v>303</v>
      </c>
      <c r="H30" t="s">
        <v>27</v>
      </c>
      <c r="I30" t="s">
        <v>33</v>
      </c>
    </row>
    <row r="31" spans="1:9" x14ac:dyDescent="0.35">
      <c r="A31" t="s">
        <v>151</v>
      </c>
      <c r="B31" t="s">
        <v>1247</v>
      </c>
      <c r="C31" t="s">
        <v>141</v>
      </c>
      <c r="D31" t="s">
        <v>1228</v>
      </c>
      <c r="E31" t="s">
        <v>314</v>
      </c>
      <c r="F31" t="s">
        <v>313</v>
      </c>
      <c r="G31" t="s">
        <v>315</v>
      </c>
      <c r="H31" t="s">
        <v>27</v>
      </c>
      <c r="I31" t="s">
        <v>33</v>
      </c>
    </row>
    <row r="32" spans="1:9" x14ac:dyDescent="0.35">
      <c r="A32" t="s">
        <v>151</v>
      </c>
      <c r="B32" t="s">
        <v>1247</v>
      </c>
      <c r="C32" t="s">
        <v>190</v>
      </c>
      <c r="D32" t="s">
        <v>1229</v>
      </c>
      <c r="E32" t="s">
        <v>322</v>
      </c>
      <c r="F32" t="s">
        <v>321</v>
      </c>
      <c r="G32" t="s">
        <v>323</v>
      </c>
      <c r="H32" t="s">
        <v>27</v>
      </c>
      <c r="I32" t="s">
        <v>33</v>
      </c>
    </row>
    <row r="33" spans="1:9" x14ac:dyDescent="0.35">
      <c r="A33" t="s">
        <v>151</v>
      </c>
      <c r="B33" t="s">
        <v>1247</v>
      </c>
      <c r="C33" t="s">
        <v>223</v>
      </c>
      <c r="D33" t="s">
        <v>1230</v>
      </c>
      <c r="E33" t="s">
        <v>332</v>
      </c>
      <c r="F33" t="s">
        <v>331</v>
      </c>
      <c r="G33" t="s">
        <v>333</v>
      </c>
      <c r="H33" t="s">
        <v>227</v>
      </c>
      <c r="I33" t="s">
        <v>232</v>
      </c>
    </row>
    <row r="34" spans="1:9" x14ac:dyDescent="0.35">
      <c r="A34" t="s">
        <v>151</v>
      </c>
      <c r="B34" t="s">
        <v>1247</v>
      </c>
      <c r="C34" t="s">
        <v>223</v>
      </c>
      <c r="D34" t="s">
        <v>1230</v>
      </c>
      <c r="E34" t="s">
        <v>342</v>
      </c>
      <c r="F34" t="s">
        <v>341</v>
      </c>
      <c r="G34" t="s">
        <v>343</v>
      </c>
      <c r="H34" t="s">
        <v>227</v>
      </c>
      <c r="I34" t="s">
        <v>232</v>
      </c>
    </row>
    <row r="35" spans="1:9" x14ac:dyDescent="0.35">
      <c r="A35" t="s">
        <v>1248</v>
      </c>
      <c r="B35" t="s">
        <v>1249</v>
      </c>
      <c r="C35" t="s">
        <v>267</v>
      </c>
      <c r="D35" t="s">
        <v>268</v>
      </c>
      <c r="E35" t="s">
        <v>350</v>
      </c>
      <c r="F35" t="s">
        <v>349</v>
      </c>
      <c r="G35" t="s">
        <v>351</v>
      </c>
      <c r="H35" t="s">
        <v>227</v>
      </c>
      <c r="I35" t="s">
        <v>232</v>
      </c>
    </row>
    <row r="36" spans="1:9" x14ac:dyDescent="0.35">
      <c r="A36" t="s">
        <v>1248</v>
      </c>
      <c r="B36" t="s">
        <v>1249</v>
      </c>
      <c r="C36" t="s">
        <v>267</v>
      </c>
      <c r="D36" t="s">
        <v>268</v>
      </c>
      <c r="E36" t="s">
        <v>358</v>
      </c>
      <c r="F36" t="s">
        <v>357</v>
      </c>
      <c r="G36" t="s">
        <v>359</v>
      </c>
      <c r="H36" t="s">
        <v>227</v>
      </c>
      <c r="I36" t="s">
        <v>232</v>
      </c>
    </row>
    <row r="37" spans="1:9" x14ac:dyDescent="0.35">
      <c r="A37" t="s">
        <v>1248</v>
      </c>
      <c r="B37" t="s">
        <v>1249</v>
      </c>
      <c r="C37" t="s">
        <v>293</v>
      </c>
      <c r="D37" t="s">
        <v>294</v>
      </c>
      <c r="E37" t="s">
        <v>366</v>
      </c>
      <c r="F37" t="s">
        <v>365</v>
      </c>
      <c r="G37" t="s">
        <v>367</v>
      </c>
      <c r="H37" t="s">
        <v>227</v>
      </c>
      <c r="I37" t="s">
        <v>232</v>
      </c>
    </row>
    <row r="38" spans="1:9" x14ac:dyDescent="0.35">
      <c r="A38" t="s">
        <v>1245</v>
      </c>
      <c r="B38" t="s">
        <v>1246</v>
      </c>
      <c r="C38" t="s">
        <v>22</v>
      </c>
      <c r="D38" t="s">
        <v>1221</v>
      </c>
      <c r="E38" t="s">
        <v>374</v>
      </c>
      <c r="F38" t="s">
        <v>373</v>
      </c>
      <c r="G38" t="s">
        <v>375</v>
      </c>
      <c r="H38" t="s">
        <v>27</v>
      </c>
      <c r="I38" t="s">
        <v>232</v>
      </c>
    </row>
    <row r="39" spans="1:9" x14ac:dyDescent="0.35">
      <c r="A39" t="s">
        <v>1245</v>
      </c>
      <c r="B39" t="s">
        <v>1246</v>
      </c>
      <c r="C39" t="s">
        <v>22</v>
      </c>
      <c r="D39" t="s">
        <v>1221</v>
      </c>
      <c r="E39" t="s">
        <v>386</v>
      </c>
      <c r="F39" t="s">
        <v>385</v>
      </c>
      <c r="G39" t="s">
        <v>387</v>
      </c>
      <c r="H39" t="s">
        <v>27</v>
      </c>
      <c r="I39" t="s">
        <v>232</v>
      </c>
    </row>
    <row r="40" spans="1:9" x14ac:dyDescent="0.35">
      <c r="A40" t="s">
        <v>1245</v>
      </c>
      <c r="B40" t="s">
        <v>1246</v>
      </c>
      <c r="C40" t="s">
        <v>22</v>
      </c>
      <c r="D40" t="s">
        <v>1221</v>
      </c>
      <c r="E40" t="s">
        <v>395</v>
      </c>
      <c r="F40" t="s">
        <v>394</v>
      </c>
      <c r="G40" t="s">
        <v>396</v>
      </c>
      <c r="H40" t="s">
        <v>27</v>
      </c>
      <c r="I40" t="s">
        <v>232</v>
      </c>
    </row>
    <row r="41" spans="1:9" x14ac:dyDescent="0.35">
      <c r="A41" t="s">
        <v>1245</v>
      </c>
      <c r="B41" t="s">
        <v>1246</v>
      </c>
      <c r="C41" t="s">
        <v>22</v>
      </c>
      <c r="D41" t="s">
        <v>1221</v>
      </c>
      <c r="E41" t="s">
        <v>404</v>
      </c>
      <c r="F41" t="s">
        <v>403</v>
      </c>
      <c r="G41" t="s">
        <v>405</v>
      </c>
      <c r="H41" t="s">
        <v>27</v>
      </c>
      <c r="I41" t="s">
        <v>232</v>
      </c>
    </row>
    <row r="42" spans="1:9" x14ac:dyDescent="0.35">
      <c r="A42" t="s">
        <v>1245</v>
      </c>
      <c r="B42" t="s">
        <v>1246</v>
      </c>
      <c r="C42" t="s">
        <v>130</v>
      </c>
      <c r="D42" t="s">
        <v>1224</v>
      </c>
      <c r="E42" t="s">
        <v>413</v>
      </c>
      <c r="F42" t="s">
        <v>412</v>
      </c>
      <c r="G42" t="s">
        <v>414</v>
      </c>
      <c r="H42" t="s">
        <v>27</v>
      </c>
      <c r="I42" t="s">
        <v>232</v>
      </c>
    </row>
    <row r="43" spans="1:9" x14ac:dyDescent="0.35">
      <c r="A43" t="s">
        <v>1245</v>
      </c>
      <c r="B43" t="s">
        <v>1246</v>
      </c>
      <c r="C43" t="s">
        <v>22</v>
      </c>
      <c r="D43" t="s">
        <v>1221</v>
      </c>
      <c r="E43" t="s">
        <v>422</v>
      </c>
      <c r="F43" t="s">
        <v>421</v>
      </c>
      <c r="G43" t="s">
        <v>423</v>
      </c>
      <c r="H43" t="s">
        <v>27</v>
      </c>
      <c r="I43" t="s">
        <v>232</v>
      </c>
    </row>
    <row r="44" spans="1:9" x14ac:dyDescent="0.35">
      <c r="A44" t="s">
        <v>1245</v>
      </c>
      <c r="B44" t="s">
        <v>1246</v>
      </c>
      <c r="C44" t="s">
        <v>102</v>
      </c>
      <c r="D44" t="s">
        <v>1223</v>
      </c>
      <c r="E44" t="s">
        <v>433</v>
      </c>
      <c r="F44" t="s">
        <v>432</v>
      </c>
      <c r="G44" t="s">
        <v>434</v>
      </c>
      <c r="H44" t="s">
        <v>27</v>
      </c>
      <c r="I44" t="s">
        <v>232</v>
      </c>
    </row>
    <row r="45" spans="1:9" x14ac:dyDescent="0.35">
      <c r="A45" t="s">
        <v>1245</v>
      </c>
      <c r="B45" t="s">
        <v>1246</v>
      </c>
      <c r="C45" t="s">
        <v>102</v>
      </c>
      <c r="D45" t="s">
        <v>1223</v>
      </c>
      <c r="E45" t="s">
        <v>442</v>
      </c>
      <c r="F45" t="s">
        <v>441</v>
      </c>
      <c r="G45" t="s">
        <v>443</v>
      </c>
      <c r="H45" t="s">
        <v>227</v>
      </c>
      <c r="I45" t="s">
        <v>232</v>
      </c>
    </row>
    <row r="46" spans="1:9" x14ac:dyDescent="0.35">
      <c r="A46" t="s">
        <v>151</v>
      </c>
      <c r="B46" t="s">
        <v>1247</v>
      </c>
      <c r="C46" t="s">
        <v>223</v>
      </c>
      <c r="D46" t="s">
        <v>1230</v>
      </c>
      <c r="E46" t="s">
        <v>451</v>
      </c>
      <c r="F46" t="s">
        <v>450</v>
      </c>
      <c r="G46" t="s">
        <v>452</v>
      </c>
      <c r="H46" t="s">
        <v>227</v>
      </c>
      <c r="I46" t="s">
        <v>232</v>
      </c>
    </row>
    <row r="47" spans="1:9" x14ac:dyDescent="0.35">
      <c r="A47" t="s">
        <v>151</v>
      </c>
      <c r="B47" t="s">
        <v>1247</v>
      </c>
      <c r="C47" t="s">
        <v>223</v>
      </c>
      <c r="D47" t="s">
        <v>1230</v>
      </c>
      <c r="E47" t="s">
        <v>459</v>
      </c>
      <c r="F47" t="s">
        <v>458</v>
      </c>
      <c r="G47" t="s">
        <v>460</v>
      </c>
      <c r="H47" t="s">
        <v>227</v>
      </c>
      <c r="I47" t="s">
        <v>232</v>
      </c>
    </row>
    <row r="48" spans="1:9" x14ac:dyDescent="0.35">
      <c r="A48" t="s">
        <v>151</v>
      </c>
      <c r="B48" t="s">
        <v>1247</v>
      </c>
      <c r="C48" t="s">
        <v>223</v>
      </c>
      <c r="D48" t="s">
        <v>1230</v>
      </c>
      <c r="E48" t="s">
        <v>467</v>
      </c>
      <c r="F48" t="s">
        <v>466</v>
      </c>
      <c r="G48" t="s">
        <v>468</v>
      </c>
      <c r="H48" t="s">
        <v>27</v>
      </c>
      <c r="I48" t="s">
        <v>232</v>
      </c>
    </row>
    <row r="49" spans="1:9" x14ac:dyDescent="0.35">
      <c r="A49" t="s">
        <v>151</v>
      </c>
      <c r="B49" t="s">
        <v>1247</v>
      </c>
      <c r="C49" t="s">
        <v>223</v>
      </c>
      <c r="D49" t="s">
        <v>1230</v>
      </c>
      <c r="E49" t="s">
        <v>476</v>
      </c>
      <c r="F49" t="s">
        <v>475</v>
      </c>
      <c r="G49" t="s">
        <v>477</v>
      </c>
      <c r="H49" t="s">
        <v>27</v>
      </c>
      <c r="I49" t="s">
        <v>232</v>
      </c>
    </row>
    <row r="50" spans="1:9" x14ac:dyDescent="0.35">
      <c r="A50" t="s">
        <v>151</v>
      </c>
      <c r="B50" t="s">
        <v>1247</v>
      </c>
      <c r="C50" t="s">
        <v>223</v>
      </c>
      <c r="D50" t="s">
        <v>1230</v>
      </c>
      <c r="E50" t="s">
        <v>484</v>
      </c>
      <c r="F50" t="s">
        <v>483</v>
      </c>
      <c r="G50" t="s">
        <v>485</v>
      </c>
      <c r="H50" t="s">
        <v>227</v>
      </c>
      <c r="I50" t="s">
        <v>232</v>
      </c>
    </row>
    <row r="51" spans="1:9" x14ac:dyDescent="0.35">
      <c r="A51" t="s">
        <v>151</v>
      </c>
      <c r="B51" t="s">
        <v>1247</v>
      </c>
      <c r="C51" t="s">
        <v>190</v>
      </c>
      <c r="D51" t="s">
        <v>1229</v>
      </c>
      <c r="E51" t="s">
        <v>491</v>
      </c>
      <c r="F51" t="s">
        <v>490</v>
      </c>
      <c r="G51" t="s">
        <v>492</v>
      </c>
      <c r="H51" t="s">
        <v>27</v>
      </c>
      <c r="I51" t="s">
        <v>232</v>
      </c>
    </row>
    <row r="52" spans="1:9" x14ac:dyDescent="0.35">
      <c r="A52" t="s">
        <v>151</v>
      </c>
      <c r="B52" t="s">
        <v>1247</v>
      </c>
      <c r="C52" t="s">
        <v>223</v>
      </c>
      <c r="D52" t="s">
        <v>1230</v>
      </c>
      <c r="E52" t="s">
        <v>501</v>
      </c>
      <c r="F52" t="s">
        <v>500</v>
      </c>
      <c r="G52" t="s">
        <v>502</v>
      </c>
      <c r="H52" t="s">
        <v>227</v>
      </c>
      <c r="I52" t="s">
        <v>232</v>
      </c>
    </row>
    <row r="53" spans="1:9" x14ac:dyDescent="0.35">
      <c r="A53" t="s">
        <v>151</v>
      </c>
      <c r="B53" t="s">
        <v>1247</v>
      </c>
      <c r="C53" t="s">
        <v>223</v>
      </c>
      <c r="D53" t="s">
        <v>1230</v>
      </c>
      <c r="E53" t="s">
        <v>509</v>
      </c>
      <c r="F53" t="s">
        <v>508</v>
      </c>
      <c r="G53" t="s">
        <v>510</v>
      </c>
      <c r="H53" t="s">
        <v>227</v>
      </c>
      <c r="I53" t="s">
        <v>232</v>
      </c>
    </row>
    <row r="54" spans="1:9" x14ac:dyDescent="0.35">
      <c r="A54" t="s">
        <v>151</v>
      </c>
      <c r="B54" t="s">
        <v>1247</v>
      </c>
      <c r="C54" t="s">
        <v>223</v>
      </c>
      <c r="D54" t="s">
        <v>1230</v>
      </c>
      <c r="E54" t="s">
        <v>517</v>
      </c>
      <c r="F54" t="s">
        <v>516</v>
      </c>
      <c r="G54" t="s">
        <v>518</v>
      </c>
      <c r="H54" t="s">
        <v>227</v>
      </c>
      <c r="I54" t="s">
        <v>232</v>
      </c>
    </row>
    <row r="55" spans="1:9" x14ac:dyDescent="0.35">
      <c r="A55" t="s">
        <v>151</v>
      </c>
      <c r="B55" t="s">
        <v>1247</v>
      </c>
      <c r="C55" t="s">
        <v>223</v>
      </c>
      <c r="D55" t="s">
        <v>1230</v>
      </c>
      <c r="E55" t="s">
        <v>526</v>
      </c>
      <c r="F55" t="s">
        <v>525</v>
      </c>
      <c r="G55" t="s">
        <v>527</v>
      </c>
      <c r="H55" t="s">
        <v>227</v>
      </c>
      <c r="I55" t="s">
        <v>232</v>
      </c>
    </row>
    <row r="56" spans="1:9" x14ac:dyDescent="0.35">
      <c r="A56" t="s">
        <v>1248</v>
      </c>
      <c r="B56" t="s">
        <v>1249</v>
      </c>
      <c r="C56" t="s">
        <v>267</v>
      </c>
      <c r="D56" t="s">
        <v>268</v>
      </c>
      <c r="E56" t="s">
        <v>536</v>
      </c>
      <c r="F56" t="s">
        <v>535</v>
      </c>
      <c r="G56" t="s">
        <v>537</v>
      </c>
      <c r="H56" t="s">
        <v>227</v>
      </c>
      <c r="I56" t="s">
        <v>232</v>
      </c>
    </row>
    <row r="57" spans="1:9" x14ac:dyDescent="0.35">
      <c r="A57" t="s">
        <v>1248</v>
      </c>
      <c r="B57" t="s">
        <v>1249</v>
      </c>
      <c r="C57" t="s">
        <v>267</v>
      </c>
      <c r="D57" t="s">
        <v>268</v>
      </c>
      <c r="E57" t="s">
        <v>544</v>
      </c>
      <c r="F57" t="s">
        <v>543</v>
      </c>
      <c r="G57" t="s">
        <v>545</v>
      </c>
      <c r="H57" t="s">
        <v>227</v>
      </c>
      <c r="I57" t="s">
        <v>232</v>
      </c>
    </row>
    <row r="58" spans="1:9" x14ac:dyDescent="0.35">
      <c r="A58" t="s">
        <v>1248</v>
      </c>
      <c r="B58" t="s">
        <v>1249</v>
      </c>
      <c r="C58" t="s">
        <v>267</v>
      </c>
      <c r="D58" t="s">
        <v>268</v>
      </c>
      <c r="E58" t="s">
        <v>553</v>
      </c>
      <c r="F58" t="s">
        <v>552</v>
      </c>
      <c r="G58" t="s">
        <v>554</v>
      </c>
      <c r="H58" t="s">
        <v>27</v>
      </c>
      <c r="I58" t="s">
        <v>232</v>
      </c>
    </row>
    <row r="59" spans="1:9" x14ac:dyDescent="0.35">
      <c r="A59" t="s">
        <v>1248</v>
      </c>
      <c r="B59" t="s">
        <v>1249</v>
      </c>
      <c r="C59" t="s">
        <v>293</v>
      </c>
      <c r="D59" t="s">
        <v>294</v>
      </c>
      <c r="E59" t="s">
        <v>561</v>
      </c>
      <c r="F59" t="s">
        <v>560</v>
      </c>
      <c r="G59" t="s">
        <v>562</v>
      </c>
      <c r="H59" t="s">
        <v>227</v>
      </c>
      <c r="I59" t="s">
        <v>232</v>
      </c>
    </row>
    <row r="60" spans="1:9" x14ac:dyDescent="0.35">
      <c r="A60" t="s">
        <v>1248</v>
      </c>
      <c r="B60" t="s">
        <v>1249</v>
      </c>
      <c r="C60" t="s">
        <v>267</v>
      </c>
      <c r="D60" t="s">
        <v>268</v>
      </c>
      <c r="E60" t="s">
        <v>569</v>
      </c>
      <c r="F60" t="s">
        <v>568</v>
      </c>
      <c r="G60" t="s">
        <v>570</v>
      </c>
      <c r="H60" t="s">
        <v>227</v>
      </c>
      <c r="I60" t="s">
        <v>232</v>
      </c>
    </row>
    <row r="61" spans="1:9" x14ac:dyDescent="0.35">
      <c r="A61" t="s">
        <v>1248</v>
      </c>
      <c r="B61" t="s">
        <v>1249</v>
      </c>
      <c r="C61" t="s">
        <v>267</v>
      </c>
      <c r="D61" t="s">
        <v>268</v>
      </c>
      <c r="E61" t="s">
        <v>577</v>
      </c>
      <c r="F61" t="s">
        <v>576</v>
      </c>
      <c r="G61" t="s">
        <v>578</v>
      </c>
      <c r="H61" t="s">
        <v>227</v>
      </c>
      <c r="I61" t="s">
        <v>232</v>
      </c>
    </row>
    <row r="62" spans="1:9" x14ac:dyDescent="0.35">
      <c r="A62" t="s">
        <v>1248</v>
      </c>
      <c r="B62" t="s">
        <v>1249</v>
      </c>
      <c r="C62" t="s">
        <v>293</v>
      </c>
      <c r="D62" t="s">
        <v>294</v>
      </c>
      <c r="E62" t="s">
        <v>586</v>
      </c>
      <c r="F62" t="s">
        <v>585</v>
      </c>
      <c r="G62" t="s">
        <v>587</v>
      </c>
      <c r="H62" t="s">
        <v>27</v>
      </c>
      <c r="I62" t="s">
        <v>232</v>
      </c>
    </row>
    <row r="63" spans="1:9" x14ac:dyDescent="0.35">
      <c r="A63" t="s">
        <v>151</v>
      </c>
      <c r="B63" t="s">
        <v>1250</v>
      </c>
      <c r="C63" t="s">
        <v>90</v>
      </c>
      <c r="D63" t="s">
        <v>1222</v>
      </c>
      <c r="E63" t="s">
        <v>595</v>
      </c>
      <c r="F63" t="s">
        <v>594</v>
      </c>
      <c r="G63" t="s">
        <v>596</v>
      </c>
      <c r="H63" t="s">
        <v>27</v>
      </c>
      <c r="I63" t="s">
        <v>232</v>
      </c>
    </row>
    <row r="64" spans="1:9" x14ac:dyDescent="0.35">
      <c r="A64" t="s">
        <v>151</v>
      </c>
      <c r="B64" t="s">
        <v>1250</v>
      </c>
      <c r="C64" t="s">
        <v>90</v>
      </c>
      <c r="D64" t="s">
        <v>1222</v>
      </c>
      <c r="E64" t="s">
        <v>603</v>
      </c>
      <c r="F64" t="s">
        <v>602</v>
      </c>
      <c r="G64" t="s">
        <v>604</v>
      </c>
      <c r="H64" t="s">
        <v>27</v>
      </c>
      <c r="I64" t="s">
        <v>232</v>
      </c>
    </row>
    <row r="65" spans="1:9" x14ac:dyDescent="0.35">
      <c r="A65" t="s">
        <v>151</v>
      </c>
      <c r="B65" t="s">
        <v>1250</v>
      </c>
      <c r="C65" t="s">
        <v>90</v>
      </c>
      <c r="D65" t="s">
        <v>1222</v>
      </c>
      <c r="E65" t="s">
        <v>610</v>
      </c>
      <c r="F65" t="s">
        <v>609</v>
      </c>
      <c r="G65" t="s">
        <v>611</v>
      </c>
      <c r="H65" t="s">
        <v>227</v>
      </c>
      <c r="I65" t="s">
        <v>232</v>
      </c>
    </row>
    <row r="66" spans="1:9" x14ac:dyDescent="0.35">
      <c r="A66" t="s">
        <v>151</v>
      </c>
      <c r="B66" t="s">
        <v>1250</v>
      </c>
      <c r="C66" t="s">
        <v>90</v>
      </c>
      <c r="D66" t="s">
        <v>1222</v>
      </c>
      <c r="E66" t="s">
        <v>618</v>
      </c>
      <c r="F66" t="s">
        <v>617</v>
      </c>
      <c r="G66" t="s">
        <v>619</v>
      </c>
      <c r="H66" t="s">
        <v>27</v>
      </c>
      <c r="I66" t="s">
        <v>232</v>
      </c>
    </row>
    <row r="67" spans="1:9" x14ac:dyDescent="0.35">
      <c r="A67" t="s">
        <v>151</v>
      </c>
      <c r="B67" t="s">
        <v>1250</v>
      </c>
      <c r="C67" t="s">
        <v>102</v>
      </c>
      <c r="D67" t="s">
        <v>1223</v>
      </c>
      <c r="E67" t="s">
        <v>625</v>
      </c>
      <c r="F67" t="s">
        <v>624</v>
      </c>
      <c r="G67" t="s">
        <v>626</v>
      </c>
      <c r="H67" t="s">
        <v>27</v>
      </c>
      <c r="I67" t="s">
        <v>232</v>
      </c>
    </row>
    <row r="68" spans="1:9" x14ac:dyDescent="0.35">
      <c r="A68" t="s">
        <v>151</v>
      </c>
      <c r="B68" t="s">
        <v>1250</v>
      </c>
      <c r="C68" t="s">
        <v>102</v>
      </c>
      <c r="D68" t="s">
        <v>1223</v>
      </c>
      <c r="E68" t="s">
        <v>632</v>
      </c>
      <c r="F68" t="s">
        <v>631</v>
      </c>
      <c r="G68" t="s">
        <v>633</v>
      </c>
      <c r="H68" t="s">
        <v>27</v>
      </c>
      <c r="I68" t="s">
        <v>232</v>
      </c>
    </row>
    <row r="69" spans="1:9" x14ac:dyDescent="0.35">
      <c r="A69" t="s">
        <v>151</v>
      </c>
      <c r="B69" t="s">
        <v>1250</v>
      </c>
      <c r="C69" t="s">
        <v>102</v>
      </c>
      <c r="D69" t="s">
        <v>1223</v>
      </c>
      <c r="E69" t="s">
        <v>639</v>
      </c>
      <c r="F69" t="s">
        <v>638</v>
      </c>
      <c r="G69" t="s">
        <v>640</v>
      </c>
      <c r="H69" t="s">
        <v>227</v>
      </c>
      <c r="I69" t="s">
        <v>232</v>
      </c>
    </row>
    <row r="70" spans="1:9" x14ac:dyDescent="0.35">
      <c r="A70" t="s">
        <v>151</v>
      </c>
      <c r="B70" t="s">
        <v>1250</v>
      </c>
      <c r="C70" t="s">
        <v>130</v>
      </c>
      <c r="D70" t="s">
        <v>1224</v>
      </c>
      <c r="E70" t="s">
        <v>646</v>
      </c>
      <c r="F70" t="s">
        <v>645</v>
      </c>
      <c r="G70" t="s">
        <v>647</v>
      </c>
      <c r="H70" t="s">
        <v>27</v>
      </c>
      <c r="I70" t="s">
        <v>232</v>
      </c>
    </row>
    <row r="71" spans="1:9" x14ac:dyDescent="0.35">
      <c r="A71" t="s">
        <v>151</v>
      </c>
      <c r="B71" t="s">
        <v>1250</v>
      </c>
      <c r="C71" t="s">
        <v>130</v>
      </c>
      <c r="D71" t="s">
        <v>1224</v>
      </c>
      <c r="E71" t="s">
        <v>653</v>
      </c>
      <c r="F71" t="s">
        <v>652</v>
      </c>
      <c r="G71" t="s">
        <v>654</v>
      </c>
      <c r="H71" t="s">
        <v>27</v>
      </c>
      <c r="I71" t="s">
        <v>232</v>
      </c>
    </row>
    <row r="72" spans="1:9" x14ac:dyDescent="0.35">
      <c r="A72" t="s">
        <v>151</v>
      </c>
      <c r="B72" t="s">
        <v>1250</v>
      </c>
      <c r="C72" t="s">
        <v>130</v>
      </c>
      <c r="D72" t="s">
        <v>1224</v>
      </c>
      <c r="E72" t="s">
        <v>660</v>
      </c>
      <c r="F72" t="s">
        <v>659</v>
      </c>
      <c r="G72" t="s">
        <v>661</v>
      </c>
      <c r="H72" t="s">
        <v>227</v>
      </c>
      <c r="I72" t="s">
        <v>232</v>
      </c>
    </row>
    <row r="73" spans="1:9" x14ac:dyDescent="0.35">
      <c r="A73" t="s">
        <v>151</v>
      </c>
      <c r="B73" t="s">
        <v>1250</v>
      </c>
      <c r="C73" t="s">
        <v>22</v>
      </c>
      <c r="D73" t="s">
        <v>1221</v>
      </c>
      <c r="E73" t="s">
        <v>668</v>
      </c>
      <c r="F73" t="s">
        <v>667</v>
      </c>
      <c r="G73" t="s">
        <v>669</v>
      </c>
      <c r="H73" t="s">
        <v>27</v>
      </c>
      <c r="I73" t="s">
        <v>232</v>
      </c>
    </row>
    <row r="74" spans="1:9" x14ac:dyDescent="0.35">
      <c r="A74" t="s">
        <v>151</v>
      </c>
      <c r="B74" t="s">
        <v>1250</v>
      </c>
      <c r="C74" t="s">
        <v>22</v>
      </c>
      <c r="D74" t="s">
        <v>1221</v>
      </c>
      <c r="E74" t="s">
        <v>675</v>
      </c>
      <c r="F74" t="s">
        <v>674</v>
      </c>
      <c r="G74" t="s">
        <v>676</v>
      </c>
      <c r="H74" t="s">
        <v>227</v>
      </c>
      <c r="I74" t="s">
        <v>232</v>
      </c>
    </row>
    <row r="75" spans="1:9" x14ac:dyDescent="0.35">
      <c r="A75" t="s">
        <v>1245</v>
      </c>
      <c r="B75" t="s">
        <v>1251</v>
      </c>
      <c r="C75" t="s">
        <v>141</v>
      </c>
      <c r="D75" t="s">
        <v>1228</v>
      </c>
      <c r="E75" t="s">
        <v>683</v>
      </c>
      <c r="F75" t="s">
        <v>681</v>
      </c>
      <c r="G75" t="s">
        <v>684</v>
      </c>
      <c r="H75" t="s">
        <v>27</v>
      </c>
      <c r="I75" t="s">
        <v>232</v>
      </c>
    </row>
    <row r="76" spans="1:9" x14ac:dyDescent="0.35">
      <c r="A76" t="s">
        <v>1245</v>
      </c>
      <c r="B76" t="s">
        <v>1251</v>
      </c>
      <c r="C76" t="s">
        <v>141</v>
      </c>
      <c r="D76" t="s">
        <v>1228</v>
      </c>
      <c r="E76" t="s">
        <v>690</v>
      </c>
      <c r="F76" t="s">
        <v>689</v>
      </c>
      <c r="G76" t="s">
        <v>691</v>
      </c>
      <c r="H76" t="s">
        <v>227</v>
      </c>
      <c r="I76" t="s">
        <v>232</v>
      </c>
    </row>
    <row r="77" spans="1:9" x14ac:dyDescent="0.35">
      <c r="A77" t="s">
        <v>1245</v>
      </c>
      <c r="B77" t="s">
        <v>1251</v>
      </c>
      <c r="C77" t="s">
        <v>141</v>
      </c>
      <c r="D77" t="s">
        <v>1228</v>
      </c>
      <c r="E77" t="s">
        <v>697</v>
      </c>
      <c r="F77" t="s">
        <v>696</v>
      </c>
      <c r="G77" t="s">
        <v>698</v>
      </c>
      <c r="H77" t="s">
        <v>27</v>
      </c>
      <c r="I77" t="s">
        <v>232</v>
      </c>
    </row>
    <row r="78" spans="1:9" x14ac:dyDescent="0.35">
      <c r="A78" t="s">
        <v>1245</v>
      </c>
      <c r="B78" t="s">
        <v>1251</v>
      </c>
      <c r="C78" t="s">
        <v>141</v>
      </c>
      <c r="D78" t="s">
        <v>1228</v>
      </c>
      <c r="E78" t="s">
        <v>704</v>
      </c>
      <c r="F78" t="s">
        <v>703</v>
      </c>
      <c r="G78" t="s">
        <v>705</v>
      </c>
      <c r="H78" t="s">
        <v>27</v>
      </c>
      <c r="I78" t="s">
        <v>232</v>
      </c>
    </row>
    <row r="79" spans="1:9" x14ac:dyDescent="0.35">
      <c r="A79" t="s">
        <v>1245</v>
      </c>
      <c r="B79" t="s">
        <v>1251</v>
      </c>
      <c r="C79" t="s">
        <v>141</v>
      </c>
      <c r="D79" t="s">
        <v>1228</v>
      </c>
      <c r="E79" t="s">
        <v>711</v>
      </c>
      <c r="F79" t="s">
        <v>710</v>
      </c>
      <c r="G79" t="s">
        <v>712</v>
      </c>
      <c r="H79" t="s">
        <v>227</v>
      </c>
      <c r="I79" t="s">
        <v>232</v>
      </c>
    </row>
    <row r="80" spans="1:9" x14ac:dyDescent="0.35">
      <c r="A80" t="s">
        <v>1245</v>
      </c>
      <c r="B80" t="s">
        <v>1251</v>
      </c>
      <c r="C80" t="s">
        <v>141</v>
      </c>
      <c r="D80" t="s">
        <v>1228</v>
      </c>
      <c r="E80" t="s">
        <v>718</v>
      </c>
      <c r="F80" t="s">
        <v>717</v>
      </c>
      <c r="G80" t="s">
        <v>719</v>
      </c>
      <c r="H80" t="s">
        <v>27</v>
      </c>
      <c r="I80" t="s">
        <v>232</v>
      </c>
    </row>
    <row r="81" spans="1:9" x14ac:dyDescent="0.35">
      <c r="A81" t="s">
        <v>1245</v>
      </c>
      <c r="B81" t="s">
        <v>1251</v>
      </c>
      <c r="C81" t="s">
        <v>190</v>
      </c>
      <c r="D81" t="s">
        <v>1229</v>
      </c>
      <c r="E81" t="s">
        <v>725</v>
      </c>
      <c r="F81" t="s">
        <v>724</v>
      </c>
      <c r="G81" t="s">
        <v>726</v>
      </c>
      <c r="H81" t="s">
        <v>27</v>
      </c>
      <c r="I81" t="s">
        <v>232</v>
      </c>
    </row>
    <row r="82" spans="1:9" x14ac:dyDescent="0.35">
      <c r="A82" t="s">
        <v>1245</v>
      </c>
      <c r="B82" t="s">
        <v>1251</v>
      </c>
      <c r="C82" t="s">
        <v>190</v>
      </c>
      <c r="D82" t="s">
        <v>1229</v>
      </c>
      <c r="E82" t="s">
        <v>732</v>
      </c>
      <c r="F82" t="s">
        <v>731</v>
      </c>
      <c r="G82" t="s">
        <v>733</v>
      </c>
      <c r="H82" t="s">
        <v>27</v>
      </c>
      <c r="I82" t="s">
        <v>232</v>
      </c>
    </row>
    <row r="83" spans="1:9" x14ac:dyDescent="0.35">
      <c r="A83" t="s">
        <v>1245</v>
      </c>
      <c r="B83" t="s">
        <v>1251</v>
      </c>
      <c r="C83" t="s">
        <v>190</v>
      </c>
      <c r="D83" t="s">
        <v>1229</v>
      </c>
      <c r="E83" t="s">
        <v>739</v>
      </c>
      <c r="F83" t="s">
        <v>738</v>
      </c>
      <c r="G83" t="s">
        <v>740</v>
      </c>
      <c r="H83" t="s">
        <v>27</v>
      </c>
      <c r="I83" t="s">
        <v>232</v>
      </c>
    </row>
    <row r="84" spans="1:9" x14ac:dyDescent="0.35">
      <c r="A84" t="s">
        <v>1245</v>
      </c>
      <c r="B84" t="s">
        <v>1251</v>
      </c>
      <c r="C84" t="s">
        <v>190</v>
      </c>
      <c r="D84" t="s">
        <v>1229</v>
      </c>
      <c r="E84" t="s">
        <v>746</v>
      </c>
      <c r="F84" t="s">
        <v>745</v>
      </c>
      <c r="G84" t="s">
        <v>747</v>
      </c>
      <c r="H84" t="s">
        <v>227</v>
      </c>
      <c r="I84" t="s">
        <v>232</v>
      </c>
    </row>
    <row r="85" spans="1:9" x14ac:dyDescent="0.35">
      <c r="A85" t="s">
        <v>1245</v>
      </c>
      <c r="B85" t="s">
        <v>1251</v>
      </c>
      <c r="C85" t="s">
        <v>190</v>
      </c>
      <c r="D85" t="s">
        <v>1229</v>
      </c>
      <c r="E85" t="s">
        <v>753</v>
      </c>
      <c r="F85" t="s">
        <v>752</v>
      </c>
      <c r="G85" t="s">
        <v>754</v>
      </c>
      <c r="H85" t="s">
        <v>27</v>
      </c>
      <c r="I85" t="s">
        <v>232</v>
      </c>
    </row>
    <row r="86" spans="1:9" x14ac:dyDescent="0.35">
      <c r="A86" t="s">
        <v>1245</v>
      </c>
      <c r="B86" t="s">
        <v>1251</v>
      </c>
      <c r="C86" t="s">
        <v>223</v>
      </c>
      <c r="D86" t="s">
        <v>1230</v>
      </c>
      <c r="E86" t="s">
        <v>760</v>
      </c>
      <c r="F86" t="s">
        <v>759</v>
      </c>
      <c r="G86" t="s">
        <v>761</v>
      </c>
      <c r="H86" t="s">
        <v>227</v>
      </c>
      <c r="I86" t="s">
        <v>232</v>
      </c>
    </row>
    <row r="87" spans="1:9" x14ac:dyDescent="0.35">
      <c r="A87" t="s">
        <v>1245</v>
      </c>
      <c r="B87" t="s">
        <v>1251</v>
      </c>
      <c r="C87" t="s">
        <v>223</v>
      </c>
      <c r="D87" t="s">
        <v>1230</v>
      </c>
      <c r="E87" t="s">
        <v>767</v>
      </c>
      <c r="F87" t="s">
        <v>766</v>
      </c>
      <c r="G87" t="s">
        <v>768</v>
      </c>
      <c r="H87" t="s">
        <v>227</v>
      </c>
      <c r="I87" t="s">
        <v>232</v>
      </c>
    </row>
    <row r="88" spans="1:9" x14ac:dyDescent="0.35">
      <c r="A88" t="s">
        <v>1245</v>
      </c>
      <c r="B88" t="s">
        <v>1251</v>
      </c>
      <c r="C88" t="s">
        <v>223</v>
      </c>
      <c r="D88" t="s">
        <v>1230</v>
      </c>
      <c r="E88" t="s">
        <v>774</v>
      </c>
      <c r="F88" t="s">
        <v>773</v>
      </c>
      <c r="G88" t="s">
        <v>775</v>
      </c>
      <c r="H88" t="s">
        <v>227</v>
      </c>
      <c r="I88" t="s">
        <v>232</v>
      </c>
    </row>
    <row r="89" spans="1:9" x14ac:dyDescent="0.35">
      <c r="A89" t="s">
        <v>1245</v>
      </c>
      <c r="B89" t="s">
        <v>1251</v>
      </c>
      <c r="C89" t="s">
        <v>223</v>
      </c>
      <c r="D89" t="s">
        <v>1230</v>
      </c>
      <c r="E89" t="s">
        <v>781</v>
      </c>
      <c r="F89" t="s">
        <v>780</v>
      </c>
      <c r="G89" t="s">
        <v>782</v>
      </c>
      <c r="H89" t="s">
        <v>227</v>
      </c>
      <c r="I89" t="s">
        <v>232</v>
      </c>
    </row>
    <row r="90" spans="1:9" x14ac:dyDescent="0.35">
      <c r="A90" t="s">
        <v>1248</v>
      </c>
      <c r="B90" t="s">
        <v>1252</v>
      </c>
      <c r="C90" t="s">
        <v>211</v>
      </c>
      <c r="D90" t="s">
        <v>1234</v>
      </c>
      <c r="E90" t="s">
        <v>788</v>
      </c>
      <c r="F90" t="s">
        <v>787</v>
      </c>
      <c r="G90" t="s">
        <v>789</v>
      </c>
      <c r="H90" t="s">
        <v>27</v>
      </c>
      <c r="I90" t="s">
        <v>232</v>
      </c>
    </row>
    <row r="91" spans="1:9" x14ac:dyDescent="0.35">
      <c r="A91" t="s">
        <v>1248</v>
      </c>
      <c r="B91" t="s">
        <v>1252</v>
      </c>
      <c r="C91" t="s">
        <v>211</v>
      </c>
      <c r="D91" t="s">
        <v>1234</v>
      </c>
      <c r="E91" t="s">
        <v>795</v>
      </c>
      <c r="F91" t="s">
        <v>794</v>
      </c>
      <c r="G91" t="s">
        <v>796</v>
      </c>
      <c r="H91" t="s">
        <v>27</v>
      </c>
      <c r="I91" t="s">
        <v>232</v>
      </c>
    </row>
    <row r="92" spans="1:9" x14ac:dyDescent="0.35">
      <c r="A92" t="s">
        <v>1248</v>
      </c>
      <c r="B92" t="s">
        <v>1252</v>
      </c>
      <c r="C92" t="s">
        <v>211</v>
      </c>
      <c r="D92" t="s">
        <v>1234</v>
      </c>
      <c r="E92" t="s">
        <v>802</v>
      </c>
      <c r="F92" t="s">
        <v>801</v>
      </c>
      <c r="G92" t="s">
        <v>803</v>
      </c>
      <c r="H92" t="s">
        <v>27</v>
      </c>
      <c r="I92" t="s">
        <v>232</v>
      </c>
    </row>
    <row r="93" spans="1:9" x14ac:dyDescent="0.35">
      <c r="A93" t="s">
        <v>1248</v>
      </c>
      <c r="B93" t="s">
        <v>1252</v>
      </c>
      <c r="C93" t="s">
        <v>211</v>
      </c>
      <c r="D93" t="s">
        <v>1234</v>
      </c>
      <c r="E93" t="s">
        <v>809</v>
      </c>
      <c r="F93" t="s">
        <v>808</v>
      </c>
      <c r="G93" t="s">
        <v>810</v>
      </c>
      <c r="H93" t="s">
        <v>227</v>
      </c>
      <c r="I93" t="s">
        <v>232</v>
      </c>
    </row>
    <row r="94" spans="1:9" x14ac:dyDescent="0.35">
      <c r="A94" t="s">
        <v>1248</v>
      </c>
      <c r="B94" t="s">
        <v>1252</v>
      </c>
      <c r="C94" t="s">
        <v>267</v>
      </c>
      <c r="D94" t="s">
        <v>268</v>
      </c>
      <c r="E94" t="s">
        <v>816</v>
      </c>
      <c r="F94" t="s">
        <v>815</v>
      </c>
      <c r="G94" t="s">
        <v>817</v>
      </c>
      <c r="H94" t="s">
        <v>27</v>
      </c>
      <c r="I94" t="s">
        <v>232</v>
      </c>
    </row>
    <row r="95" spans="1:9" x14ac:dyDescent="0.35">
      <c r="A95" t="s">
        <v>1248</v>
      </c>
      <c r="B95" t="s">
        <v>1252</v>
      </c>
      <c r="C95" t="s">
        <v>267</v>
      </c>
      <c r="D95" t="s">
        <v>268</v>
      </c>
      <c r="E95" t="s">
        <v>823</v>
      </c>
      <c r="F95" t="s">
        <v>822</v>
      </c>
      <c r="G95" t="s">
        <v>824</v>
      </c>
      <c r="H95" t="s">
        <v>227</v>
      </c>
      <c r="I95" t="s">
        <v>232</v>
      </c>
    </row>
    <row r="96" spans="1:9" x14ac:dyDescent="0.35">
      <c r="A96" t="s">
        <v>1248</v>
      </c>
      <c r="B96" t="s">
        <v>1252</v>
      </c>
      <c r="C96" t="s">
        <v>267</v>
      </c>
      <c r="D96" t="s">
        <v>268</v>
      </c>
      <c r="E96" t="s">
        <v>830</v>
      </c>
      <c r="F96" t="s">
        <v>829</v>
      </c>
      <c r="G96" t="s">
        <v>831</v>
      </c>
      <c r="H96" t="s">
        <v>27</v>
      </c>
      <c r="I96" t="s">
        <v>232</v>
      </c>
    </row>
    <row r="97" spans="1:9" x14ac:dyDescent="0.35">
      <c r="A97" t="s">
        <v>1248</v>
      </c>
      <c r="B97" t="s">
        <v>1252</v>
      </c>
      <c r="C97" t="s">
        <v>267</v>
      </c>
      <c r="D97" t="s">
        <v>268</v>
      </c>
      <c r="E97" t="s">
        <v>837</v>
      </c>
      <c r="F97" t="s">
        <v>836</v>
      </c>
      <c r="G97" t="s">
        <v>838</v>
      </c>
      <c r="H97" t="s">
        <v>227</v>
      </c>
      <c r="I97" t="s">
        <v>232</v>
      </c>
    </row>
    <row r="98" spans="1:9" x14ac:dyDescent="0.35">
      <c r="A98" t="s">
        <v>1248</v>
      </c>
      <c r="B98" t="s">
        <v>1252</v>
      </c>
      <c r="C98" t="s">
        <v>293</v>
      </c>
      <c r="D98" t="s">
        <v>294</v>
      </c>
      <c r="E98" t="s">
        <v>844</v>
      </c>
      <c r="F98" t="s">
        <v>843</v>
      </c>
      <c r="G98" t="s">
        <v>845</v>
      </c>
      <c r="H98" t="s">
        <v>27</v>
      </c>
      <c r="I98" t="s">
        <v>232</v>
      </c>
    </row>
    <row r="99" spans="1:9" x14ac:dyDescent="0.35">
      <c r="A99" t="s">
        <v>1248</v>
      </c>
      <c r="B99" t="s">
        <v>1252</v>
      </c>
      <c r="C99" t="s">
        <v>293</v>
      </c>
      <c r="D99" t="s">
        <v>294</v>
      </c>
      <c r="E99" t="s">
        <v>851</v>
      </c>
      <c r="F99" t="s">
        <v>850</v>
      </c>
      <c r="G99" t="s">
        <v>852</v>
      </c>
      <c r="H99" t="s">
        <v>227</v>
      </c>
      <c r="I99" t="s">
        <v>232</v>
      </c>
    </row>
    <row r="100" spans="1:9" x14ac:dyDescent="0.35">
      <c r="A100" t="s">
        <v>1248</v>
      </c>
      <c r="B100" t="s">
        <v>1252</v>
      </c>
      <c r="C100" t="s">
        <v>293</v>
      </c>
      <c r="D100" t="s">
        <v>294</v>
      </c>
      <c r="E100" t="s">
        <v>858</v>
      </c>
      <c r="F100" t="s">
        <v>857</v>
      </c>
      <c r="G100" t="s">
        <v>859</v>
      </c>
      <c r="H100" t="s">
        <v>227</v>
      </c>
      <c r="I100" t="s">
        <v>232</v>
      </c>
    </row>
    <row r="101" spans="1:9" x14ac:dyDescent="0.35">
      <c r="A101" t="s">
        <v>1248</v>
      </c>
      <c r="B101" t="s">
        <v>1252</v>
      </c>
      <c r="C101" t="s">
        <v>293</v>
      </c>
      <c r="D101" t="s">
        <v>294</v>
      </c>
      <c r="E101" t="s">
        <v>865</v>
      </c>
      <c r="F101" t="s">
        <v>864</v>
      </c>
      <c r="G101" t="s">
        <v>866</v>
      </c>
      <c r="H101" t="s">
        <v>227</v>
      </c>
      <c r="I101" t="s">
        <v>232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cp:revision>0</cp:revision>
  <dcterms:created xsi:type="dcterms:W3CDTF">2026-09-24T10:29:59Z</dcterms:created>
  <dcterms:modified xsi:type="dcterms:W3CDTF">2026-10-19T06:50:35Z</dcterms:modified>
  <dc:language>en-US</dc:language>
</cp:coreProperties>
</file>