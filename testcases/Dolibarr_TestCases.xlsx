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8E01AEC7-5E6C-41EB-953D-721A8A1C8A06}" xr6:coauthVersionLast="47" xr6:coauthVersionMax="47" xr10:uidLastSave="{00000000-0000-0000-0000-000000000000}"/>
  <bookViews>
    <workbookView xWindow="2090" yWindow="1060" windowWidth="14400" windowHeight="7360" tabRatio="50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iterateDelta="1E-4"/>
</workbook>
</file>

<file path=xl/calcChain.xml><?xml version="1.0" encoding="utf-8"?>
<calcChain xmlns="http://schemas.openxmlformats.org/spreadsheetml/2006/main">
  <c r="I13" i="5" l="1"/>
  <c r="H13" i="5"/>
  <c r="G13" i="5"/>
  <c r="F13" i="5"/>
  <c r="E13" i="5"/>
  <c r="D13" i="5"/>
  <c r="I12" i="5"/>
  <c r="H12" i="5"/>
  <c r="G12" i="5"/>
  <c r="F12" i="5"/>
  <c r="E12" i="5"/>
  <c r="D12" i="5"/>
  <c r="I11" i="5"/>
  <c r="I14" i="5" s="1"/>
  <c r="H11" i="5"/>
  <c r="H14" i="5" s="1"/>
  <c r="G11" i="5"/>
  <c r="G14" i="5" s="1"/>
  <c r="F11" i="5"/>
  <c r="F14" i="5" s="1"/>
  <c r="E11" i="5"/>
  <c r="E14" i="5" s="1"/>
  <c r="D11" i="5"/>
  <c r="I9" i="5"/>
  <c r="H9" i="5"/>
  <c r="G9" i="5"/>
  <c r="F9" i="5"/>
  <c r="E9" i="5"/>
  <c r="D9" i="5"/>
  <c r="I8" i="5"/>
  <c r="H8" i="5"/>
  <c r="G8" i="5"/>
  <c r="F8" i="5"/>
  <c r="E8" i="5"/>
  <c r="D8" i="5"/>
  <c r="I7" i="5"/>
  <c r="I10" i="5" s="1"/>
  <c r="H7" i="5"/>
  <c r="H10" i="5" s="1"/>
  <c r="G7" i="5"/>
  <c r="G10" i="5" s="1"/>
  <c r="F7" i="5"/>
  <c r="F10" i="5" s="1"/>
  <c r="E7" i="5"/>
  <c r="E10" i="5" s="1"/>
  <c r="D7" i="5"/>
  <c r="I5" i="5"/>
  <c r="H5" i="5"/>
  <c r="G5" i="5"/>
  <c r="J5" i="5" s="1"/>
  <c r="F5" i="5"/>
  <c r="E5" i="5"/>
  <c r="D5" i="5"/>
  <c r="I4" i="5"/>
  <c r="H4" i="5"/>
  <c r="G4" i="5"/>
  <c r="F4" i="5"/>
  <c r="E4" i="5"/>
  <c r="D4" i="5"/>
  <c r="I3" i="5"/>
  <c r="H3" i="5"/>
  <c r="G3" i="5"/>
  <c r="F3" i="5"/>
  <c r="E3" i="5"/>
  <c r="D3" i="5"/>
  <c r="I2" i="5"/>
  <c r="I6" i="5" s="1"/>
  <c r="I15" i="5" s="1"/>
  <c r="H2" i="5"/>
  <c r="H6" i="5" s="1"/>
  <c r="H15" i="5" s="1"/>
  <c r="G2" i="5"/>
  <c r="G6" i="5" s="1"/>
  <c r="G15" i="5" s="1"/>
  <c r="F2" i="5"/>
  <c r="E2" i="5"/>
  <c r="E6" i="5" s="1"/>
  <c r="E15" i="5" s="1"/>
  <c r="D2" i="5"/>
  <c r="D6" i="5" s="1"/>
  <c r="J4" i="5" l="1"/>
  <c r="J7" i="5"/>
  <c r="J9" i="5"/>
  <c r="J12" i="5"/>
  <c r="F6" i="5"/>
  <c r="F15" i="5" s="1"/>
  <c r="J3" i="5"/>
  <c r="J8" i="5"/>
  <c r="J11" i="5"/>
  <c r="J13" i="5"/>
  <c r="J6" i="5"/>
  <c r="J2" i="5"/>
  <c r="D10" i="5"/>
  <c r="J10" i="5" s="1"/>
  <c r="D14" i="5"/>
  <c r="J14" i="5" s="1"/>
  <c r="D15" i="5" l="1"/>
  <c r="J15" i="5" s="1"/>
</calcChain>
</file>

<file path=xl/sharedStrings.xml><?xml version="1.0" encoding="utf-8"?>
<sst xmlns="http://schemas.openxmlformats.org/spreadsheetml/2006/main" count="2181" uniqueCount="923">
  <si>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</si>
  <si>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</si>
  <si>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</si>
  <si>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</si>
  <si>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</si>
  <si>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</si>
  <si>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</si>
  <si>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</si>
  <si>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</si>
  <si>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</si>
  <si>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</si>
  <si>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</si>
  <si>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</si>
  <si>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</si>
  <si>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</si>
  <si>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</si>
  <si>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</si>
  <si>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</si>
  <si>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</si>
  <si>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Kết quả script tham khảo (không phải nghiệm thu)</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</si>
  <si>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</si>
  <si>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</si>
  <si>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</si>
  <si>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</si>
  <si>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</si>
  <si>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</si>
  <si>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</si>
  <si>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</si>
  <si>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</si>
  <si>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</si>
  <si>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</si>
  <si>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</si>
  <si>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</si>
  <si>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</si>
  <si>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2026-10-07</t>
  </si>
  <si>
    <t>evidence/automation/TC_CRM_005.png; docs/test_run_acceptance_20261007.log</t>
  </si>
  <si>
    <t>Chạy trên mốc sạch dolibarr_clean, ngày 2026-10-07, tuần tự (DoNotParallelize)</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</si>
  <si>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</si>
  <si>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</si>
  <si>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</si>
  <si>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</si>
  <si>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</si>
  <si>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</si>
  <si>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</si>
  <si>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 docs/test_run_acceptance_20261007.log</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</si>
  <si>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</si>
  <si>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</si>
  <si>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</si>
  <si>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</si>
  <si>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</si>
  <si>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</si>
  <si>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</si>
  <si>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 docs/test_run_acceptance_20261007.log</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</si>
  <si>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</si>
  <si>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</si>
  <si>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</si>
  <si>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</si>
  <si>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</si>
  <si>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</si>
  <si>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</si>
  <si>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 docs/test_run_acceptance_20261007.log</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</si>
  <si>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</si>
  <si>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</si>
  <si>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</si>
  <si>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</si>
  <si>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</si>
  <si>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</si>
  <si>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</si>
  <si>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</si>
  <si>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 docs/test_run_acceptance_20261007.log</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</si>
  <si>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</si>
  <si>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</si>
  <si>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</si>
  <si>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</si>
  <si>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</si>
  <si>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</si>
  <si>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</si>
  <si>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</si>
  <si>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evidence/automation/TC_CRM_010_fail_bug001.png; docs/test_run_acceptance_20261007.log</t>
  </si>
  <si>
    <t>BUG_001</t>
  </si>
  <si>
    <t>Chạy trên mốc sạch dolibarr_clean, ngày 2026-10-07, tuần tự (DoNotParallelize). Bắt đúng BUG_001.</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</si>
  <si>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</si>
  <si>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</si>
  <si>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</si>
  <si>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</si>
  <si>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</si>
  <si>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</si>
  <si>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</si>
  <si>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 docs/test_run_acceptance_20261007.log</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</si>
  <si>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</si>
  <si>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</si>
  <si>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</si>
  <si>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</si>
  <si>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</si>
  <si>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</si>
  <si>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</si>
  <si>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</si>
  <si>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</si>
  <si>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</si>
  <si>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 docs/test_run_acceptance_20261007.log</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</si>
  <si>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</si>
  <si>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</si>
  <si>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</si>
  <si>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</si>
  <si>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</si>
  <si>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</si>
  <si>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</si>
  <si>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</si>
  <si>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</si>
  <si>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</si>
  <si>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 docs/test_run_acceptance_20261007.log</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</si>
  <si>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</si>
  <si>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</si>
  <si>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</si>
  <si>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</si>
  <si>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</si>
  <si>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</si>
  <si>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</si>
  <si>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</si>
  <si>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 docs/test_run_acceptance_20261007.log</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</si>
  <si>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</si>
  <si>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</si>
  <si>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</si>
  <si>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</si>
  <si>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</si>
  <si>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</si>
  <si>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</si>
  <si>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</si>
  <si>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 docs/test_run_acceptance_20261007.log</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</si>
  <si>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</si>
  <si>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</si>
  <si>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</si>
  <si>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</si>
  <si>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</si>
  <si>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</si>
  <si>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</si>
  <si>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</si>
  <si>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</si>
  <si>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 docs/test_run_acceptance_20261007.log</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</si>
  <si>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</si>
  <si>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</si>
  <si>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</si>
  <si>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</si>
  <si>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</si>
  <si>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</si>
  <si>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</si>
  <si>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</si>
  <si>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</si>
  <si>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</si>
  <si>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</si>
  <si>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evidence/automation/sales/TC_SAL_001_CreateDraftProposal_ShouldSucceed_2026-10-07_16-01-19.png; docs/test_run_acceptance_20261007.log</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</si>
  <si>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</si>
  <si>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</si>
  <si>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</si>
  <si>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</si>
  <si>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</si>
  <si>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</si>
  <si>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</si>
  <si>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</si>
  <si>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</si>
  <si>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evidence/automation/sales/TC_SAL_002_AddProductLine_ShouldCalculateCorrectTotal_2026-10-07_16-01-26.png; docs/test_run_acceptance_20261007.log</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</si>
  <si>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</si>
  <si>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</si>
  <si>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</si>
  <si>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</si>
  <si>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</si>
  <si>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</si>
  <si>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</si>
  <si>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</si>
  <si>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evidence/automation/sales/TC_SAL_003_AddMultipleProducts_ShouldCalculateCumulativeTotal_2026-10-07_16-01-37.png; docs/test_run_acceptance_20261007.log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</si>
  <si>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</si>
  <si>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</si>
  <si>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</si>
  <si>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</si>
  <si>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</si>
  <si>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</si>
  <si>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</si>
  <si>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</si>
  <si>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</si>
  <si>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evidence/automation/sales/TC_SAL_004_ValidateProposal_ShouldChangeStatusToOpen_2026-10-07_16-02-01.png; docs/test_run_acceptance_20261007.log</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</si>
  <si>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</si>
  <si>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</si>
  <si>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</si>
  <si>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</si>
  <si>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</si>
  <si>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</si>
  <si>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</si>
  <si>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</si>
  <si>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evidence/automation/sales/TC_SAL_005_CloseProposalAsSigned_ShouldUpdateStatus_2026-10-07_16-02-25.png; docs/test_run_acceptance_20261007.log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</si>
  <si>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</si>
  <si>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</si>
  <si>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</si>
  <si>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</si>
  <si>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</si>
  <si>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</si>
  <si>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</si>
  <si>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</si>
  <si>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</si>
  <si>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evidence/automation/sales/TC_SAL_006_CreateInvoiceFromSignedProposal_ShouldInheritTotal_2026-10-07_16-02-51.png; docs/test_run_acceptance_20261007.log</t>
  </si>
  <si>
    <t>Chạy trên mốc sạch dolibarr_clean, ngày 2026-10-07, tuần tự (DoNotParallelize). Khắc phục triệt để race condition.</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</si>
  <si>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</si>
  <si>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</si>
  <si>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</si>
  <si>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</si>
  <si>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</si>
  <si>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</si>
  <si>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</si>
  <si>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</si>
  <si>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evidence/automation/sales/TC_SAL_007_ValidateInvoice_ShouldChangeStatusToUnpaid_2026-10-07_16-03-18.png; docs/test_run_acceptance_20261007.log</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</si>
  <si>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</si>
  <si>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</si>
  <si>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</si>
  <si>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</si>
  <si>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</si>
  <si>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</si>
  <si>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</si>
  <si>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</si>
  <si>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</si>
  <si>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</si>
  <si>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</si>
  <si>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evidence/automation/sales/TC_SAL_008_ValidateInvoice_ShouldDecreaseProductStock_2026-10-07_16-03-52.png; docs/test_run_acceptance_20261007.log</t>
  </si>
  <si>
    <t>UC-01 / UC-03</t>
  </si>
  <si>
    <t>TC_SAL_009</t>
  </si>
  <si>
    <t>F-SAL-03</t>
  </si>
  <si>
    <t>Xử lý hóa đơn đặc biệt -- Hủy hóa đơn (Abandon/Cancel)</t>
  </si>
  <si>
    <t>Hủy hóa đơn khách hàng ở trạng thái Chưa thanh toán (Unpaid)</t>
  </si>
  <si>
    <t>State Transition (ST)</t>
  </si>
  <si>
    <t>Manual</t>
  </si>
  <si>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</si>
  <si>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</si>
  <si>
    <t>InvoiceStatus='Not paid', Action='Cancel/Abandon', Reason='Khach hang doi y huy don'</t>
  </si>
  <si>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</si>
  <si>
    <t>Not Run</t>
  </si>
  <si>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</si>
  <si>
    <t>Tự thiết kế</t>
  </si>
  <si>
    <t>Status=Pass | Date=2026-10-05 | Actual=Hóa đơn chuyển sang trạng thái Abandoned. Nút thanh toán bị vô hiệu hóa. | Evidence=evidence/manual/TC_SAL_009_invoice_canceled.png</t>
  </si>
  <si>
    <t>TC_SAL_010</t>
  </si>
  <si>
    <t>Xử lý hóa đơn đặc biệt -- Hóa đơn hoàn tiền / điều chỉnh (Credit note)</t>
  </si>
  <si>
    <t>Tạo hóa đơn hoàn tiền (Credit note / Avoir) từ hóa đơn gốc đã xác thực</t>
  </si>
  <si>
    <t>State Transition (ST) / EP</t>
  </si>
  <si>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</si>
  <si>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</si>
  <si>
    <t>OriginalInvoice='IN...', Product='PR001', Qty=1, UnitPriceHT=100.00 €, VAT=10%</t>
  </si>
  <si>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</si>
  <si>
    <t>Kịch bản chuẩn hóa BVA/EP số học, chờ người dùng tự tay thực hiện kiểm thử thủ công và ghi nhận kết quả. Đã bổ sung Bước 0 (tạo hóa đơn gốc) sau review ngày 08/10/2026.</t>
  </si>
  <si>
    <t>Status=Pass | Date=2026-10-05 | Actual=Hóa đơn hoàn tiền IC2610-0003 tạo thành công từ hóa đơn gốc và đã xác thực. | Evidence=evidence/manual/TC_SAL_010_credit_note_validated.png</t>
  </si>
  <si>
    <t>TC_SAL_011</t>
  </si>
  <si>
    <t>Xử lý hóa đơn đặc biệt -- Thanh toán từng phần (Partial Payment)</t>
  </si>
  <si>
    <t>Ghi nhận thanh toán đợt 1 (một phần số tiền) cho hóa đơn chưa thanh toán</t>
  </si>
  <si>
    <t>Equivalence Partitioning (EP)</t>
  </si>
  <si>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</si>
  <si>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</si>
  <si>
    <t>TotalAmount=220.00 €, PaidAmount_1=100.00 €, PaymentMode='Cash'</t>
  </si>
  <si>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</si>
  <si>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</si>
  <si>
    <t>Status=Pass | Date=2026-10-05 | Actual=Thanh toán đợt 1 thành công (50,000.00 €). Trạng thái hóa đơn chuyển thành Started, hiển thị dư nợ còn lại. | Evidence=evidence/manual/TC_SAL_011_partial_payment_started.png</t>
  </si>
  <si>
    <t>TC_SAL_012</t>
  </si>
  <si>
    <t>Xử lý hóa đơn đặc biệt -- Thanh toán hoàn tất (Full Payment &amp; Close)</t>
  </si>
  <si>
    <t>Ghi nhận thanh toán đợt 2 đủ số tiền còn lại và đóng hóa đơn thành Paid</t>
  </si>
  <si>
    <t>State Transition (ST) / BVA</t>
  </si>
  <si>
    <t>Hóa đơn đang ở trạng thái "Started" (Partially paid) với số nợ còn lại chính xác là 120.00 € (kế thừa trực tiếp sau khi hoàn thành TC_SAL_011 trên cùng hóa đơn — không tạo hóa đơn mới).</t>
  </si>
  <si>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</si>
  <si>
    <t>RemainingAmount=120.00 €, PaidAmount_2=120.00 €, PaymentMode='Cash'</t>
  </si>
  <si>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</si>
  <si>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</si>
  <si>
    <t>Status=Pass | Date=2026-10-05 | Actual=Thanh toán hoàn tất toàn bộ nợ. Hóa đơn chuyển trạng thái Paid, công nợ về 0. | Evidence=evidence/manual/TC_SAL_012_full_payment_paid.png</t>
  </si>
  <si>
    <t>TC_STK_001</t>
  </si>
  <si>
    <t>F-STK-02</t>
  </si>
  <si>
    <t>Điều chỉnh tồn kho thủ công (Stock Correction)</t>
  </si>
  <si>
    <t>Điều chỉnh tăng tồn kho thủ công (Stock Increase Correction) cho sản phẩm PR002</t>
  </si>
  <si>
    <t>Người dùng đã đăng nhập với quyền quản lý kho; Sản phẩm PR002 đang có tồn kho thực tế ban đầu tại kho KHO001 là 30 đơn vị (theo đúng mốc sạch baseline).</t>
  </si>
  <si>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</si>
  <si>
    <t>Product='PR002', Warehouse='KHO001', InitialStock=30, AddedQty=10, Reason='Kiem ke dinh ky phat hien thua'</t>
  </si>
  <si>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</si>
  <si>
    <t>Kịch bản chuẩn hóa BVA/EP số học, chờ người dùng tự tay thực hiện kiểm thử thủ công và ghi nhận kết quả.</t>
  </si>
  <si>
    <t>Status=Pass | Date=2026-10-05 | Actual=Tồn kho PR002 tăng 10 đơn vị (55 -&gt; 65). Ghi nhận biến động +10 thành công. | Evidence=evidence/manual/TC_STK_001_stock_increase.png</t>
  </si>
  <si>
    <t>TC_STK_002</t>
  </si>
  <si>
    <t>Điều chỉnh giảm tồn kho thủ công (Stock Decrease Correction) do hàng hỏng</t>
  </si>
  <si>
    <t>Sản phẩm PR002 đang có tồn kho khả dụng tại kho KHO001 là 40 đơn vị (tiếp nối sau TC_STK_001) hoặc 30 đơn vị (nếu chạy độc lập trên baseline).</t>
  </si>
  <si>
    <t>1. Mở tab "Stock" của sản phẩm PR002.
2. Nhấn nút "Correct stock".
3. Chọn kho điều chỉnh: KHO001.
4. Chọn thao tác "Remove" (Giảm kho) và nhập số lượng điều chỉnh: 5 đơn vị.
5. Nhập lý do kiểm kê: "Hang hu hong bao bi can huy".
6. Nhấn "Save".</t>
  </si>
  <si>
    <t>Product='PR002', Warehouse='KHO001', CurrentStock=40, DecreasedQty=5, Reason='Hang hu hong bao bi can huy'</t>
  </si>
  <si>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</si>
  <si>
    <t>Status=Pass | Date=2026-10-05 | Actual=Tồn kho PR002 giảm 5 đơn vị (60 -&gt; 55). Ghi nhận biến động -5 thành công. | Evidence=evidence/manual/TC_STK_002_stock_decrease.png</t>
  </si>
  <si>
    <t>TC_STK_003</t>
  </si>
  <si>
    <t>Điều chỉnh tồn kho thủ công -- Xuất quá số lượng tồn (Negative Stock)</t>
  </si>
  <si>
    <t>Khảo sát hành vi khi điều chỉnh giảm số lượng tồn kho vượt quá số lượng tồn hiện có</t>
  </si>
  <si>
    <t>Boundary Value Analysis (BVA)</t>
  </si>
  <si>
    <t>Sản phẩm PR004 có tồn kho thực tế hiện tại tại kho KHO001 chính xác là 89 đơn vị (theo mốc sạch baseline).</t>
  </si>
  <si>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</si>
  <si>
    <t>Product='PR004', Warehouse='KHO001', CurrentStock=89, DecreaseQty=100 (vượt biên 11 đơn vị)</t>
  </si>
  <si>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</si>
  <si>
    <t>Status=Pass | Date=2026-10-05 | Actual=Khảo sát hoàn tất. Tồn sau xuất: 89. Hệ thống xử lý theo rule cấu hình tồn âm của Dolibarr 22.0.4. | Evidence=evidence/manual/TC_STK_003_negative_stock.png</t>
  </si>
  <si>
    <t>TC_STK_004</t>
  </si>
  <si>
    <t>F-STK-03</t>
  </si>
  <si>
    <t>Cảnh báo tồn kho tối thiểu (Stock Limit &amp; Alert Threshold)</t>
  </si>
  <si>
    <t>Kiểm tra hiển thị cảnh báo khi tồn kho giảm xuống dưới ngưỡng tồn kho tối thiểu (Stock limit)</t>
  </si>
  <si>
    <t>Sản phẩm PR003 có tồn kho ban đầu tại kho KHO001 là 40 đơn vị (mốc sạch baseline). Thiết lập cấu hình ngưỡng tồn kho tối thiểu (Stock limit for alert) = 10 đơn vị, tồn kho mong muốn (Desired stock) = 50 đơn vị.</t>
  </si>
  <si>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</si>
  <si>
    <t>Product='PR003', InitialStock=40, StockLimit=10, DesiredStock=50, DecreaseQty=32, ResultStock=8</t>
  </si>
  <si>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</si>
  <si>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</si>
  <si>
    <t>TC_SAL_013</t>
  </si>
  <si>
    <t>Báo giá có chiết khấu dòng (% Discount)</t>
  </si>
  <si>
    <t>Thêm sản phẩm PR001 (SL=2) với chiết khấu 10%, kiểm tra tính toán Total HT, VAT và Total TTC sau chiết khấu</t>
  </si>
  <si>
    <t>BVA / Calculation</t>
  </si>
  <si>
    <t>Báo giá nháp (Draft) vừa tạo mới đang mở; sản phẩm PR001 đã có giá niêm yết 100€, VAT 10%</t>
  </si>
  <si>
    <t>1. Tại form thêm sản phẩm, chọn PR001
2. Nhập số lượng: 2 cái
3. Nhập chiết khấu % (Discount): 10%
4. Nhấn Add
5. Kiểm tra bảng tổng tiền</t>
  </si>
  <si>
    <t>Product='PR001', Qty=2, Discount=10%, VAT=10%</t>
  </si>
  <si>
    <t>Dòng sản phẩm được thêm với chiết khấu 10%; Total HT = (100 x 2) x 0.9 = 180.00 €; VAT = 180 x 10% = 18.00 €; Total TTC = 180 + 18 = 198.00 €</t>
  </si>
  <si>
    <t>Thêm sản phẩm PR001 (SL=2, giảm 10%) thành công. Tự động tính đúng: Total HT = 180.00 €, VAT = 18.00 €, Total TTC = 198.00 €.</t>
  </si>
  <si>
    <t>2026-10-08</t>
  </si>
  <si>
    <t>evidence/automation/sales/TC_SAL_013_AddProductWithDiscount_ShouldCalculateCorrectTotal_2026-10-08_00-04-24.png</t>
  </si>
  <si>
    <t>Chạy trên mốc sạch dolibarr_clean, ngày 2026-10-08, tuần tự (DoNotParallelize)</t>
  </si>
  <si>
    <t>TC_SAL_014</t>
  </si>
  <si>
    <t>Đóng báo giá trạng thái Từ chối (Refused Proposal)</t>
  </si>
  <si>
    <t>Đóng báo giá trạng thái Refused, kiểm tra trạng thái cập nhật và không cho phép tạo hóa đơn</t>
  </si>
  <si>
    <t>1. Nhấn nút Close (Đóng)
2. Chọn trạng thái: Refused (Từ chối / Not signed)
3. Nhấn Save/Confirm
4. Kiểm tra trạng thái và sự hiện diện của nút Create invoice</t>
  </si>
  <si>
    <t>Status='Refused'</t>
  </si>
  <si>
    <t>Trạng thái báo giá chuyển thành Refused/Closed; KHÔNG hiển thị nút Create invoice (ngăn chặn lập hóa đơn từ báo giá bị từ chối)</t>
  </si>
  <si>
    <t>Đóng báo giá trạng thái Refused thành công. Trạng thái hiển thị 'Refused (Closed)'; không có nút Create invoice.</t>
  </si>
  <si>
    <t>evidence/automation/sales/TC_SAL_014_CloseProposalAsRefused_ShouldNotAllowInvoiceCreation_2026-10-08_00-05-00.png</t>
  </si>
  <si>
    <t>TC_SAL_015</t>
  </si>
  <si>
    <t>Ghi nhận Thanh toán toàn bộ hóa đơn (Full Payment 100%)</t>
  </si>
  <si>
    <t>Thanh toán 100% hóa đơn bán hàng, kiểm tra trạng thái chuyển sang Paid và số tiền còn lại bằng 0</t>
  </si>
  <si>
    <t>State Transition / Calculation</t>
  </si>
  <si>
    <t>Hóa đơn bán hàng đang ở trạng thái Unpaid (Not paid)</t>
  </si>
  <si>
    <t>1. Nhấn nút Enter payment
2. Nhập ngày thanh toán hiện tại, phương thức (Cash/LIQ)
3. Nhấn nút thanh toán toàn bộ 100% số tiền hóa đơn
4. Nhấn Pay và xác nhận Validate
5. Kiểm tra trạng thái hóa đơn và số tiền còn lại phải trả</t>
  </si>
  <si>
    <t>PaymentMode='Cash', Amount=100% (Full)</t>
  </si>
  <si>
    <t>Hóa đơn chuyển trạng thái sang Paid (Đã thanh toán, không còn Not paid); Số tiền còn lại phải trả (Remains to pay) = 0.00 €</t>
  </si>
  <si>
    <t>Ghi nhận thanh toán 100% thành công. Trạng thái hóa đơn cập nhật 'Paid', số tiền còn lại phải trả là 0.00 €.</t>
  </si>
  <si>
    <t>evidence/automation/sales/TC_SAL_015_PayInvoiceInFull_ShouldChangeStatusToPaid_2026-10-08_00-05-33.png</t>
  </si>
  <si>
    <t>TC_SAL_016</t>
  </si>
  <si>
    <t>Xử lý hóa đơn đặc biệt -- Hủy hóa đơn đã có thanh toán một phần (Negative Test)</t>
  </si>
  <si>
    <t>Thử hủy hóa đơn đang ở trạng thái Started (đã thanh toán một phần) -- kiểm tra ràng buộc nghiệp vụ</t>
  </si>
  <si>
    <t>State Transition (ST) - Negative</t>
  </si>
  <si>
    <t>Hóa đơn Total TTC = 220.00 € cho Cong ty ABC đã được thanh toán một phần 100.00 € (trạng thái Started, Remains to pay = 120.00 €) -- tái sử dụng hóa đơn của TC_SAL_011 nếu còn tồn tại trên hệ thống, hoặc tạo mới theo Bước 0.</t>
  </si>
  <si>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</si>
  <si>
    <t>InvoiceStatus='Started', AlreadyPaid=100.00 €, RemainsToPay=120.00 €</t>
  </si>
  <si>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</si>
  <si>
    <t>Bổ sung nhánh ST âm tính còn thiếu ở TC_SAL_009 (vốn chỉ test hủy khi Not paid, số tiền=0). Case này đối lập trực tiếp để xác nhận ràng buộc nghiệp vụ của Dolibarr.</t>
  </si>
  <si>
    <t>Tự thiết kế (bổ sung sau review 08/10/2026)</t>
  </si>
  <si>
    <t>TC_SAL_017</t>
  </si>
  <si>
    <t>Xử lý hóa đơn đặc biệt -- Thanh toán vượt quá số tiền còn nợ (Overpayment)</t>
  </si>
  <si>
    <t>Khảo sát hành vi khi nhập số tiền thanh toán lớn hơn số nợ còn lại (giá trị vượt biên trên)</t>
  </si>
  <si>
    <t>Hóa đơn đang ở trạng thái Started với số nợ còn lại chính xác là 120.00 € (kế thừa sau TC_SAL_011, hoặc tạo mới theo Bước 0 của TC_SAL_011).</t>
  </si>
  <si>
    <t>1. Mở trang chi tiết hóa đơn có nợ còn lại 120.00 €.
2. Nhấn "Enter payment".
3. Nhập số tiền thanh toán vượt biên trên: 150.00 € (lớn hơn 120.00 € đúng 30.00 €).
4. Nhấn "Pay" và "Validate", quan sát phản hồi hệ thống.</t>
  </si>
  <si>
    <t>RemainingAmount=120.00 €, OverpaidAmount=150.00 € (vượt biên +30.00 €)</t>
  </si>
  <si>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</si>
  <si>
    <t>Bổ sung biên trên còn thiếu -- TC_SAL_011/012 mới chỉ test giá trị nội bộ và biên đúng bằng nợ, chưa test giá trị vượt biên.</t>
  </si>
  <si>
    <t>TC_STK_005</t>
  </si>
  <si>
    <t>Điều chỉnh tồn kho thủ công -- Giảm đúng bằng tồn hiện có (biên hợp lệ tối đa)</t>
  </si>
  <si>
    <t>Điều chỉnh giảm tồn kho đúng bằng số lượng tồn hiện có, đưa tồn kho về chính xác 0 đơn vị</t>
  </si>
  <si>
    <t>Sản phẩm PR002 có tồn kho thực tế tại KHO001 là 40 đơn vị (sau TC_STK_001) hoặc 30 đơn vị (baseline độc lập).</t>
  </si>
  <si>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</si>
  <si>
    <t>Product='PR002', Warehouse='KHO001', CurrentStock=40, DecreaseQty=40 (đúng = tồn hiện có)</t>
  </si>
  <si>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</si>
  <si>
    <t>Bổ sung biên hợp lệ tối đa còn thiếu giữa TC_STK_002 (giảm một phần) và TC_STK_003 (vượt biên) -- khẳng định ranh giới chính xác giữa hợp lệ và không hợp lệ.</t>
  </si>
  <si>
    <t>TC_STK_006</t>
  </si>
  <si>
    <t>Điều chỉnh tồn kho thủ công -- Giảm vượt tồn đúng 1 đơn vị (biên không hợp lệ đầu tiên)</t>
  </si>
  <si>
    <t>Điều chỉnh giảm tồn kho vượt quá tồn hiện có đúng 1 đơn vị, xác định chính xác ngưỡng chặn</t>
  </si>
  <si>
    <t>Sản phẩm PR004 có tồn kho thực tế tại KHO001 chính xác là 89 đơn vị (mốc sạch baseline).</t>
  </si>
  <si>
    <t>1. Mở tab "Stock" của PR004.
2. Nhấn "Correct stock", chọn kho KHO001, thao tác "Remove".
3. Nhập số lượng vượt biên tối thiểu: 90 đơn vị (89 + 1).
4. Nhập lý do: "Khao sat bien vuot ton dung 1 don vi".
5. Nhấn "Save", quan sát phản hồi hệ thống.</t>
  </si>
  <si>
    <t>Product='PR004', Warehouse='KHO001', CurrentStock=89, DecreaseQty=90 (vượt biên đúng +1)</t>
  </si>
  <si>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</si>
  <si>
    <t>Cặp bổ sung với TC_STK_005 (biên hợp lệ=89) để có đúng cặp BVA chuẩn (N hợp lệ, N+1 không hợp lệ) thay vì chỉ test cực trị N+11 như TC_STK_003.</t>
  </si>
  <si>
    <t>TC_STK_007</t>
  </si>
  <si>
    <t>Cảnh báo tồn kho tối thiểu -- Tồn đúng bằng ngưỡng cảnh báo (biên chính xác)</t>
  </si>
  <si>
    <t>Kiểm tra hành vi cảnh báo khi tồn kho giảm về đúng bằng ngưỡng tối thiểu (xác định toán tử &lt; hay &lt;=)</t>
  </si>
  <si>
    <t>Sản phẩm PR003 có tồn kho tại KHO001 là 40 đơn vị (baseline), Stock limit for alert = 10, Desired stock = 50 (tái sử dụng cấu hình từ TC_STK_004 nếu đã thiết lập).</t>
  </si>
  <si>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</si>
  <si>
    <t>Product='PR003', StockLimit=10, DesiredStock=50, DecreaseQty=30, ResultStock=10 (đúng = ngưỡng)</t>
  </si>
  <si>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</si>
  <si>
    <t>Case quyết định -- giải quyết mâu thuẫn giữa ghi chú "&lt;" (log AI) và "&lt;=" (Expected trong file) của TC_STK_004.</t>
  </si>
  <si>
    <t>TC_CRM_017</t>
  </si>
  <si>
    <t>Tạo khách hàng -- kiểm tra định dạng Email không hợp lệ</t>
  </si>
  <si>
    <t>Tạo khách hàng với Email sai định dạng (thiếu @, thiếu domain)</t>
  </si>
  <si>
    <t>Trang Tạo khách hàng mới, đã đăng nhập admin.</t>
  </si>
  <si>
    <t>1. Mở form tạo khách hàng mới.
2. Nhập Tên = "TC017_InvalidEmail".
3. Nhập Email = "abc@" (thiếu domain), nhấn Save, quan sát.
4. Lặp lại với khách hàng mới, Email = "abc.com" (thiếu @), nhấn Save, quan sát.</t>
  </si>
  <si>
    <t>Email_1='abc@', Email_2='abc.com'</t>
  </si>
  <si>
    <t>Hệ thống từ chối lưu hoặc hiển thị cảnh báo định dạng Email không hợp lệ cho cả 2 giá trị; nếu Dolibarr không validate Email ở Back-end, ghi nhận đây là PHÁT HIỆN (finding) cần báo cáo, không coi là Bug chặn nghiệp vụ.</t>
  </si>
  <si>
    <t>Field Email chưa được test ở các case 005-016 (chỉ test field Tên). Bổ sung đào sâu CRM.</t>
  </si>
  <si>
    <t>Tự thiết kế (mở rộng đợt 2, 08/10/2026)</t>
  </si>
  <si>
    <t>TC_CRM_018</t>
  </si>
  <si>
    <t>Tạo khách hàng -- Email hợp lệ</t>
  </si>
  <si>
    <t>Tạo khách hàng với Email đúng chuẩn</t>
  </si>
  <si>
    <t>Trang Tạo khách hàng mới.</t>
  </si>
  <si>
    <t>1. Mở form tạo khách hàng.
2. Tên="TC018_ValidEmail".
3. Email="tc018.valid@example.com".
4. Save.</t>
  </si>
  <si>
    <t>Email='tc018.valid@example.com'</t>
  </si>
  <si>
    <t>Lưu thành công; trang chi tiết hiển thị đúng Email vừa nhập -- đối chứng happy-path cho field Email, đi cặp với TC_CRM_017.</t>
  </si>
  <si>
    <t>Case đối chứng (positive partition) cho TC_CRM_017.</t>
  </si>
  <si>
    <t>TC_CRM_019</t>
  </si>
  <si>
    <t>Tạo khách hàng -- SĐT hợp lệ (10 chữ số)</t>
  </si>
  <si>
    <t>Tạo khách hàng với Số điện thoại đúng 10 chữ số</t>
  </si>
  <si>
    <t>1. Tên="TC019_Phone10".
2. Phone="0912345678" (10 số).
3. Save.</t>
  </si>
  <si>
    <t>Phone='0912345678'</t>
  </si>
  <si>
    <t>Lưu thành công, trang chi tiết hiển thị đúng SĐT "0912345678" (10 chữ số, không bị cắt/đổi định dạng).</t>
  </si>
  <si>
    <t>BVA trường số điện thoại 10 chữ số chuẩn.</t>
  </si>
  <si>
    <t>TC_CRM_020</t>
  </si>
  <si>
    <t>Tạo khách hàng -- SĐT chứa ký tự chữ (invalid)</t>
  </si>
  <si>
    <t>Tạo khách hàng với Số điện thoại lẫn ký tự chữ</t>
  </si>
  <si>
    <t>1. Tên="TC020_PhoneInvalid".
2. Phone="09ABCD5678".
3. Save.</t>
  </si>
  <si>
    <t>Phone='09ABCD5678'</t>
  </si>
  <si>
    <t>Ghi nhận hành vi thực tế quan sát được: Dolibarr mặc định để field Phone dạng free-text nên CÓ THỂ lưu nguyên văn "09ABCD5678" không báo lỗi -- nếu vậy đây là finding về thiếu validation, không phải bug chặn nghiệp vụ.</t>
  </si>
  <si>
    <t>Khảo sát tính năng validation trường số điện thoại.</t>
  </si>
  <si>
    <t>TC_CRM_021</t>
  </si>
  <si>
    <t>Xóa khách hàng đang có hóa đơn liên kết</t>
  </si>
  <si>
    <t>Thử xóa khách hàng Cong ty ABC khi đang có hóa đơn Validated liên kết</t>
  </si>
  <si>
    <t>Khách hàng "Cong ty ABC" đang có ít nhất 1 hóa đơn Validated liên kết (ví dụ IN2609-0002 hoặc hóa đơn từ TC_SAL_011).</t>
  </si>
  <si>
    <t>1. Mở trang khách hàng Cong ty ABC.
2. Nhấn nút Xóa (Delete).
3. Xác nhận popup (nếu có).
4. Kiểm tra lại danh sách khách hàng.</t>
  </si>
  <si>
    <t>CustomerName='Cong ty ABC', LinkedInvoice=true</t>
  </si>
  <si>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</si>
  <si>
    <t>Kiểm tra ràng buộc toàn vẹn dữ liệu quan hệ Foreign Key khi xóa khách hàng.</t>
  </si>
  <si>
    <t>TC_CRM_022</t>
  </si>
  <si>
    <t>Tạo khách hàng trùng tên với khách hàng đã tồn tại</t>
  </si>
  <si>
    <t>Tạo khách hàng mới với Tên trùng tuyệt đối "Cong ty ABC"</t>
  </si>
  <si>
    <t>Equivalence Partitioning (EP) - Negative</t>
  </si>
  <si>
    <t>Khách hàng "Cong ty ABC" đã tồn tại trong hệ thống.</t>
  </si>
  <si>
    <t>1. Mở form tạo khách hàng mới.
2. Tên="Cong ty ABC" (trùng tuyệt đối).
3. Save.
4. Kiểm tra danh sách khách hàng.</t>
  </si>
  <si>
    <t>CustomerName='Cong ty ABC' (duplicate)</t>
  </si>
  <si>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</si>
  <si>
    <t>Khảo sát quy tắc Unique Constraint trên tên khách hàng.</t>
  </si>
  <si>
    <t>TC_CRM_023</t>
  </si>
  <si>
    <t>Tìm kiếm khách hàng không phân biệt hoa/thường</t>
  </si>
  <si>
    <t>Tìm kiếm với từ khóa viết thường toàn bộ "cong ty abc"</t>
  </si>
  <si>
    <t>Khách hàng "Cong ty ABC" đã tồn tại.</t>
  </si>
  <si>
    <t>1. Mở trang danh sách khách hàng.
2. Nhập từ khóa tìm kiếm: "cong ty abc" (viết thường).
3. Nhấn Search.</t>
  </si>
  <si>
    <t>SearchKeyword='cong ty abc' (lowercase)</t>
  </si>
  <si>
    <t>Kết quả tìm kiếm trả về đúng khách hàng "Cong ty ABC" (case-insensitive search hoạt động đúng, hành vi mặc định của MySQL LIKE).</t>
  </si>
  <si>
    <t>Case-insensitive search testing.</t>
  </si>
  <si>
    <t>TC_CRM_024</t>
  </si>
  <si>
    <t>Khảo sát an toàn ô tìm kiếm trước SQL Injection</t>
  </si>
  <si>
    <t>Thử nhập chuỗi SQL Injection vào ô tìm kiếm khách hàng</t>
  </si>
  <si>
    <t>Security Testing (Negative, Exploratory)</t>
  </si>
  <si>
    <t>Trang danh sách khách hàng, môi trường dolibarr_clean (KHÔNG chạy trên DB production).</t>
  </si>
  <si>
    <t>1. Nhập vào ô tìm kiếm: ' OR '1'='1 . Nhấn tìm kiếm, quan sát kết quả.
2. Thử thêm payload thứ 2: '; DROP TABLE llx_societe;-- . Nhấn tìm kiếm, quan sát.</t>
  </si>
  <si>
    <t>Payload_1="' OR '1'='1", Payload_2="'; DROP TABLE llx_societe;--"</t>
  </si>
  <si>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</si>
  <si>
    <t>Case nhạy cảm bảo mật, thực hiện thủ công cẩn trọng, chỉ chạy trên môi trường test dolibarr_clean.</t>
  </si>
  <si>
    <t>TC_SAL_018</t>
  </si>
  <si>
    <t>Xử lý hóa đơn đặc biệt -- Hủy hóa đơn ở trạng thái Draft (chưa Validate)</t>
  </si>
  <si>
    <t>Hủy/xóa hóa đơn Draft, so sánh với luồng hủy hóa đơn Validated</t>
  </si>
  <si>
    <t>Báo giá đã Validate+Sign cho Cong ty ABC với 1 dòng PR001, đã nhấn "Create invoice" nhưng CHƯA Validate hóa đơn (còn ở trạng thái Draft).</t>
  </si>
  <si>
    <t>1. Mở hóa đơn Draft vừa tạo.
2. Tìm nút xóa/hủy tương ứng (Dolibarr thường hiển thị "Delete" cho hóa đơn Draft thay vì "Cancel").
3. Nhấn và xác nhận popup.
4. Kiểm tra hóa đơn còn tồn tại trong danh sách hay đã bị xóa hẳn.</t>
  </si>
  <si>
    <t>InvoiceStatus='Draft'</t>
  </si>
  <si>
    <t>Hóa đơn Draft bị XÓA HẲN khỏi hệ thống (khác với hủy hóa đơn Validated ở TC_SAL_009, nơi hóa đơn chỉ chuyển trạng thái Canceled và vẫn giữ bản ghi) -- xác nhận Dolibarr phân biệt rõ 2 luồng "Delete Draft" và "Cancel Validated".</t>
  </si>
  <si>
    <t>Phân biệt luồng xóa Draft và hủy Validated.</t>
  </si>
  <si>
    <t>TC_SAL_019</t>
  </si>
  <si>
    <t>Xử lý hóa đơn đặc biệt -- Credit note một phần số lượng</t>
  </si>
  <si>
    <t>Tạo Credit note chỉ hoàn 1 phần số lượng sản phẩm (partial return)</t>
  </si>
  <si>
    <t>Hóa đơn gốc Validated cho Cong ty ABC: PR001 SL=4, đơn giá 100 €, Total HT=400.00 €, VAT=40.00 €, Total TTC=440.00 €.</t>
  </si>
  <si>
    <t>1. Mở hóa đơn gốc.
2. Nhấn "Create credit note".
3. Tại dòng sản phẩm PR001, SỬA số lượng hoàn trả từ 4 xuống 2 (chỉ hoàn một nửa).
4. Nhấn "Create draft" rồi "Validate".</t>
  </si>
  <si>
    <t>OriginalQty=4, ReturnQty=2 (một phần)</t>
  </si>
  <si>
    <t>Hóa đơn hoàn tiền ghi nhận: Total HT=-200.00 €, VAT=-20.00 €, Total TTC=-220.00 € (đúng một nửa giá trị gốc 440.00 €, KHÔNG phải toàn bộ -440.00 €) -- xác nhận khả năng hoàn tiền một phần số lượng của Dolibarr.</t>
  </si>
  <si>
    <t>Hoàn trả từng phần hàng hóa qua Credit note.</t>
  </si>
  <si>
    <t>TC_SAL_020</t>
  </si>
  <si>
    <t>Xử lý hóa đơn đặc biệt -- Nhập số tiền thanh toán = 0 € (biên dưới không hợp lệ)</t>
  </si>
  <si>
    <t>Khảo sát hành vi khi nhập Amount = 0.00 € tại Enter payment</t>
  </si>
  <si>
    <t>Hóa đơn Not paid, Total TTC=110.00 €.</t>
  </si>
  <si>
    <t>1. Mở hóa đơn.
2. Nhấn "Enter payment".
3. Nhập Amount=0.00 €.
4. Nhấn "Pay".</t>
  </si>
  <si>
    <t>Amount=0.00 €</t>
  </si>
  <si>
    <t>Hệ thống từ chối lưu giao dịch thanh toán 0 € (biên dưới không hợp lệ), hiển thị lỗi dạng "Amount must be positive" hoặc tương đương; trạng thái hóa đơn giữ nguyên Not paid, Already paid vẫn = 0.00 €.</t>
  </si>
  <si>
    <t>BVA biên dưới không hợp lệ Amount = 0.</t>
  </si>
  <si>
    <t>TC_SAL_021</t>
  </si>
  <si>
    <t>Xử lý hóa đơn đặc biệt -- Nhập số tiền thanh toán âm (invalid)</t>
  </si>
  <si>
    <t>Khảo sát hành vi khi nhập Amount âm tại Enter payment</t>
  </si>
  <si>
    <t>1. Mở hóa đơn.
2. Nhấn "Enter payment".
3. Nhập Amount=-50.00 €.
4. Nhấn "Pay".</t>
  </si>
  <si>
    <t>Amount=-50.00 €</t>
  </si>
  <si>
    <t>Hệ thống từ chối lưu (biên dưới không hợp lệ, giá trị âm), hiển thị lỗi validation; KHÔNG phát sinh giao dịch thanh toán âm trong lịch sử Payment của hóa đơn.</t>
  </si>
  <si>
    <t>BVA biên dưới âm Amount &lt; 0.</t>
  </si>
  <si>
    <t>TC_SAL_022</t>
  </si>
  <si>
    <t>Xử lý hóa đơn đặc biệt -- Thanh toán bằng phương thức Bank transfer</t>
  </si>
  <si>
    <t>Ghi nhận thanh toán đủ 110.00 € qua Bank transfer (khác Cash)</t>
  </si>
  <si>
    <t>1. Mở hóa đơn.
2. Nhấn "Enter payment".
3. Chọn PaymentMode="Bank transfer" (VIR), nhập số ref giao dịch giả lập "VIR-TEST-001".
4. Amount=110.00 €.
5. Nhấn "Pay" rồi "Validate".</t>
  </si>
  <si>
    <t>PaymentMode='VIR (Bank transfer)', Amount=110.00 €</t>
  </si>
  <si>
    <t>Giao dịch ghi nhận đúng PaymentMode="Bank transfer"; trạng thái hóa đơn chuyển "Paid"; Already paid=110.00 €, Remains to pay=0.00 € -- xác nhận hệ thống hỗ trợ đúng nhiều phương thức thanh toán ngoài Cash.</t>
  </si>
  <si>
    <t>Đa dạng hóa phương thức thanh toán.</t>
  </si>
  <si>
    <t>TC_SAL_023</t>
  </si>
  <si>
    <t>Luồng chuẩn hóa đơn -- Validate hóa đơn không có dòng sản phẩm</t>
  </si>
  <si>
    <t>Thử Validate một hóa đơn Draft rỗng (không có dòng sản phẩm nào)</t>
  </si>
  <si>
    <t>Negative Testing</t>
  </si>
  <si>
    <t>Hóa đơn Draft cho Cong ty ABC, KHÔNG thêm dòng sản phẩm nào.</t>
  </si>
  <si>
    <t>1. Mở hóa đơn Draft rỗng.
2. Nhấn "Validate".</t>
  </si>
  <si>
    <t>LineItems=0 (rỗng)</t>
  </si>
  <si>
    <t>Hệ thống CHẶN Validate, hiển thị lỗi dạng "Cannot validate an invoice with no line" hoặc tương đương; hóa đơn giữ nguyên trạng thái Draft, KHÔNG được cấp mã chính thức IN....</t>
  </si>
  <si>
    <t>Negative test: chặn xác thực hóa đơn rỗng.</t>
  </si>
  <si>
    <t>TC_SAL_024</t>
  </si>
  <si>
    <t>Xử lý hóa đơn đặc biệt -- Credit note trên hóa đơn có chiết khấu dòng</t>
  </si>
  <si>
    <t>Tạo Credit note toàn bộ từ hóa đơn gốc có chiết khấu 10%, kiểm tra số âm đúng sau chiết khấu</t>
  </si>
  <si>
    <t>Hóa đơn gốc Validated: PR001 SL=2, đơn giá 100 €, chiết khấu dòng 10%, Total HT=180.00 € (200-20), VAT=18.00 €, Total TTC=198.00 €.</t>
  </si>
  <si>
    <t>1. Mở hóa đơn gốc.
2. Nhấn "Create credit note" (hoàn toàn bộ, giữ nguyên chiết khấu dòng).
3. Create draft, Validate.</t>
  </si>
  <si>
    <t>DiscountPercent=10%, OriginalTotalTTC=198.00 €</t>
  </si>
  <si>
    <t>Credit note phản ánh ĐÚNG giá trị SAU chiết khấu ở dạng âm: Total HT=-180.00 €, VAT=-18.00 €, Total TTC=-198.00 € (KHÔNG phải -200.00/-20.00/-220.00 € là giá trước chiết khấu) -- xác nhận chiết khấu được bảo toàn đúng khi hoàn tiền.</t>
  </si>
  <si>
    <t>Bảo toàn chiết khấu dòng khi hoàn tiền.</t>
  </si>
  <si>
    <t>TC_SAL_025</t>
  </si>
  <si>
    <t>Xử lý hóa đơn đặc biệt -- Thử tạo 2 Credit note liên tiếp từ cùng 1 hóa đơn gốc</t>
  </si>
  <si>
    <t>Khảo sát việc tạo Credit note lần 2 sau khi hóa đơn gốc đã được hoàn đủ 100%</t>
  </si>
  <si>
    <t>Hóa đơn gốc Validated Total TTC=110.00 €, ĐÃ có 1 Credit note đầy đủ -110.00 € (kế thừa từ TC_SAL_010).</t>
  </si>
  <si>
    <t>1. Mở lại hóa đơn gốc đã có Credit note.
2. Thử nhấn "Create credit note" lần 2.
3. Quan sát hệ thống có cho tạo tiếp hay chặn.</t>
  </si>
  <si>
    <t>ExistingCreditNote=-110.00 € (full)</t>
  </si>
  <si>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</si>
  <si>
    <t>Kiểm tra chống lặp tạo Credit note vượt giá trị.</t>
  </si>
  <si>
    <t>TC_SAL_026</t>
  </si>
  <si>
    <t>Xử lý hóa đơn đặc biệt -- Xuất PDF hóa đơn đã bị hủy (Canceled)</t>
  </si>
  <si>
    <t>Kiểm tra nhãn/watermark trạng thái hủy khi xuất PDF hóa đơn Canceled</t>
  </si>
  <si>
    <t>Functional Testing</t>
  </si>
  <si>
    <t>Hóa đơn đã Canceled (kế thừa từ TC_SAL_009).</t>
  </si>
  <si>
    <t>1. Mở hóa đơn Canceled.
2. Nhấn "Generate PDF" / xem file PDF đính kèm.
3. Kiểm tra nội dung PDF.</t>
  </si>
  <si>
    <t>InvoiceStatus='Canceled'</t>
  </si>
  <si>
    <t>PDF xuất ra hiển thị rõ nhãn/watermark trạng thái hủy (ví dụ "CANCELED"/"ANNULÉE" hoặc badge tương đương) để tránh nhầm lẫn khi gửi cho khách hàng hoặc kế toán đối chiếu.</t>
  </si>
  <si>
    <t>Kiểm tra watermark PDF chứng từ hủy.</t>
  </si>
  <si>
    <t>TC_SAL_027</t>
  </si>
  <si>
    <t>Xử lý hóa đơn đặc biệt -- Thời gian xử lý tạo Credit note trên hóa đơn nhiều dòng</t>
  </si>
  <si>
    <t>Đo thời gian tạo Credit note trên hóa đơn có 20 dòng sản phẩm</t>
  </si>
  <si>
    <t>Non-functional Testing (Performance)</t>
  </si>
  <si>
    <t>P3</t>
  </si>
  <si>
    <t>Hóa đơn gốc Validated có 20 dòng sản phẩm khác nhau (tạo thủ công hoặc bằng automation phụ trợ).</t>
  </si>
  <si>
    <t>1. Chuẩn bị đồng hồ bấm giờ hoặc DevTools Network tab.
2. Nhấn "Create credit note".
3. Ghi nhận thời gian từ lúc bấm nút đến khi trang Credit note Draft load xong hoàn toàn (đủ 20 dòng).</t>
  </si>
  <si>
    <t>SoDongSanPham=20</t>
  </si>
  <si>
    <t>Thời gian xử lý ≤ 5 giây (ngưỡng tham khảo nhóm tự đặt do đề bài không quy định SLA chính thức) -- ghi nhận số liệu thực tế đo được dù đạt hay không đạt ngưỡng.</t>
  </si>
  <si>
    <t>Ngưỡng 5 giây là ước lượng tham khảo của nhóm, không phải yêu cầu chính thức từ đề bài.</t>
  </si>
  <si>
    <t>TC_STK_008</t>
  </si>
  <si>
    <t>Điều chỉnh tồn kho thủ công -- Nhập ký tự chữ vào ô số lượng</t>
  </si>
  <si>
    <t>Khảo sát validation khi nhập ký tự không phải số vào ô Quantity</t>
  </si>
  <si>
    <t>Sản phẩm PR002 đang có tồn kho tại KHO001 (bất kỳ giá trị hiện tại).</t>
  </si>
  <si>
    <t>1. Mở Correct stock của PR002, chọn kho KHO001.
2. Chọn thao tác Add.
3. Nhập "abc" vào ô Quantity.
4. Nhấn Save.</t>
  </si>
  <si>
    <t>Quantity='abc' (không phải số)</t>
  </si>
  <si>
    <t>Hệ thống từ chối lưu hoặc tự động chặn nhập ký tự không phải số ngay tại ô input (validation HTML5 type=number hoặc JS phía client); tồn kho PR002 KHÔNG thay đổi so với trước thao tác.</t>
  </si>
  <si>
    <t>Validation ký tự phi số tại ô số lượng.</t>
  </si>
  <si>
    <t>TC_STK_009</t>
  </si>
  <si>
    <t>Điều chỉnh tồn kho thủ công -- Nhập số lượng âm trực tiếp vào thao tác Add</t>
  </si>
  <si>
    <t>Khảo sát hành vi khi nhập Quantity âm cho thao tác Add (Tăng kho)</t>
  </si>
  <si>
    <t>Boundary Value Analysis (BVA) - Negative</t>
  </si>
  <si>
    <t>Sản phẩm PR002 đang có tồn kho tại KHO001.</t>
  </si>
  <si>
    <t>1. Correct stock PR002, chọn kho KHO001.
2. Chọn thao tác Add.
3. Nhập Quantity=-5.
4. Nhấn Save.</t>
  </si>
  <si>
    <t>Action='Add', Quantity=-5</t>
  </si>
  <si>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</si>
  <si>
    <t>Validation số lượng âm tại thao tác tăng kho.</t>
  </si>
  <si>
    <t>TC_STK_010</t>
  </si>
  <si>
    <t>Điều chỉnh tồn kho thủ công -- Số lượng điều chỉnh = 0</t>
  </si>
  <si>
    <t>Khảo sát hành vi khi nhập Quantity=0 tại Correct stock</t>
  </si>
  <si>
    <t>1. Correct stock PR002, chọn kho KHO001.
2. Chọn thao tác Add.
3. Nhập Quantity=0.
4. Nhấn Save.</t>
  </si>
  <si>
    <t>Quantity=0</t>
  </si>
  <si>
    <t>Hệ thống KHÔNG tạo dòng biến động mới có ý nghĩa trong Stock movements (hoặc tạo dòng "+0" vô nghĩa -- ghi nhận thực tế); tồn kho PR002 KHÔNG đổi so với trước thao tác.</t>
  </si>
  <si>
    <t>BVA điểm biên số lượng = 0.</t>
  </si>
  <si>
    <t>TC_STK_011</t>
  </si>
  <si>
    <t>Cảnh báo tồn kho tối thiểu -- Tồn kho tăng trở lại vượt ngưỡng, icon cảnh báo biến mất</t>
  </si>
  <si>
    <t>Kiểm tra biểu tượng cảnh báo tự động biến mất khi tồn kho vượt lại ngưỡng tối thiểu</t>
  </si>
  <si>
    <t>PR003 đang ở tồn=8 đơn vị (dưới ngưỡng 10, cảnh báo đang hiển thị, kế thừa từ TC_STK_004).</t>
  </si>
  <si>
    <t>1. Correct stock PR003, chọn kho KHO001, thao tác Add, nhập +5 đơn vị (đưa tồn từ 8 lên 13, vượt ngưỡng 10).
2. Nhấn Save.
3. Kiểm tra trang chi tiết sản phẩm và danh mục Products.
4. Kiểm tra trang Replenishment.</t>
  </si>
  <si>
    <t>Before=8, Add=5, After=13 (&gt;10)</t>
  </si>
  <si>
    <t>Tồn kho PR003 = 13 đơn vị (8+5); biểu tượng cảnh báo tam giác vàng BIẾN MẤT khỏi trang chi tiết và danh mục sản phẩm; PR003 KHÔNG còn xuất hiện trong danh sách Replenishment.</t>
  </si>
  <si>
    <t>Kiểm tra cơ chế khôi phục trạng thái khi hết thiếu hụt tồn kho.</t>
  </si>
  <si>
    <t>TC_STK_012</t>
  </si>
  <si>
    <t>Điều chỉnh tồn kho thủ công -- Hiển thị trạng thái "Hết hàng" khi tồn kho = 0</t>
  </si>
  <si>
    <t>Kiểm tra giao diện hiển thị rõ ràng khi tồn kho sản phẩm về đúng 0</t>
  </si>
  <si>
    <t>Một sản phẩm có tồn kho = 0 (ví dụ PR002 sau khi chạy TC_STK_005 đưa tồn về 0).</t>
  </si>
  <si>
    <t>1. Mở trang chi tiết PR002.
2. Mở danh mục Products (danh sách sản phẩm).
3. Quan sát cách hệ thống hiển thị trạng thái tồn kho.</t>
  </si>
  <si>
    <t>Stock=0</t>
  </si>
  <si>
    <t>Hệ thống hiển thị rõ ràng số lượng tồn = 0 (không để trống gây nhầm lẫn), có thể kèm biểu tượng/màu riêng biệt với trạng thái "dưới ngưỡng tối thiểu" (F-STK-03) để phân biệt "sắp hết" và "đã hết hoàn toàn".</t>
  </si>
  <si>
    <t>Giao diện hiển thị trực quan khi hết hàng.</t>
  </si>
  <si>
    <t>TC_STK_013</t>
  </si>
  <si>
    <t>Điều chỉnh tồn kho thủ công -- 2 người dùng điều chỉnh đồng thời cùng sản phẩm (Race Condition)</t>
  </si>
  <si>
    <t>Khảo sát tính toàn vẹn dữ liệu khi 2 phiên đăng nhập cùng điều chỉnh tồn kho 1 sản phẩm song song</t>
  </si>
  <si>
    <t>Non-functional Testing (Concurrency)</t>
  </si>
  <si>
    <t>PR004 tồn=89 đơn vị (baseline); mở 2 tab trình duyệt (2 phiên đăng nhập admin) song song.</t>
  </si>
  <si>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</si>
  <si>
    <t>InitialStock=89, TabB_Remove=5 (lưu trước), TabA_Remove=10 (đọc tồn cũ 89, lưu sau)</t>
  </si>
  <si>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</si>
  <si>
    <t>Kiểm tra tương tranh đa người dùng (Concurrency / Lost Update).</t>
  </si>
  <si>
    <t>TC_STK_014</t>
  </si>
  <si>
    <t>Cảnh báo tồn kho tối thiểu -- Thời gian tải trang Replenishment</t>
  </si>
  <si>
    <t>Đo thời gian tải trang Replenishment khi có nhiều sản phẩm dưới ngưỡng cảnh báo</t>
  </si>
  <si>
    <t>Có ít nhất 3-4 sản phẩm đang dưới ngưỡng cảnh báo (PR003 sau TC_STK_004/TC_STK_007 là một ví dụ).</t>
  </si>
  <si>
    <t>1. Automation điều hướng đến trang Replenishment (Products | Services &gt; Replenishment).
2. Đo thời gian từ lúc gọi Navigate đến khi document.readyState='complete' bằng Stopwatch C#.</t>
  </si>
  <si>
    <t>SoSanPhamDuoiNguong&gt;=3</t>
  </si>
  <si>
    <t>Thời gian tải trang &lt;= 3 giây (ngưỡng tham khảo tự đặt) -- ghi nhận số liệu thực tế đo bằng Stopwatch trong code.</t>
  </si>
  <si>
    <t>Đo thời gian phản hồi trang cảnh báo thiếu hàng.</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</si>
  <si>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</si>
  <si>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</si>
  <si>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</si>
  <si>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</si>
  <si>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</si>
  <si>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</si>
  <si>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</si>
  <si>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</si>
  <si>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</si>
  <si>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DANH MỤC SẢN PHẨM MỐC (PRODUCT BASELINE DATA - NGUỒN SEED TỪ DB llx_product)</t>
  </si>
  <si>
    <t>ProductRef</t>
  </si>
  <si>
    <t>ProductName</t>
  </si>
  <si>
    <t>UnitPriceHT</t>
  </si>
  <si>
    <t>VatRate</t>
  </si>
  <si>
    <t>UnitPriceTTC</t>
  </si>
  <si>
    <t>InitialStock</t>
  </si>
  <si>
    <t>Warehouse</t>
  </si>
  <si>
    <t>PR001</t>
  </si>
  <si>
    <t>San pham Test 1</t>
  </si>
  <si>
    <t>10%</t>
  </si>
  <si>
    <t>KHO001</t>
  </si>
  <si>
    <t>Gia seed tu DB mau (llx_product); chua co tai lieu quy dinh rieng</t>
  </si>
  <si>
    <t>PR002</t>
  </si>
  <si>
    <t>San pham Test 2</t>
  </si>
  <si>
    <t>PR003</t>
  </si>
  <si>
    <t>San pham Test 3</t>
  </si>
  <si>
    <t>Gia seed tu DB mau; dung cho hoa don IN2609-0002 ban 5 cai</t>
  </si>
  <si>
    <t>PR004</t>
  </si>
  <si>
    <t>San pham Test 4</t>
  </si>
  <si>
    <t>DỮ LIỆU ĐỐI TÁC KHÁCH HÀNG MỐC (CUSTOMER BASELINE DATA)</t>
  </si>
  <si>
    <t>CustomerID</t>
  </si>
  <si>
    <t>CustomerCode</t>
  </si>
  <si>
    <t>Status</t>
  </si>
  <si>
    <t>1</t>
  </si>
  <si>
    <t>Cong ty ABC</t>
  </si>
  <si>
    <t>CU2609-00001</t>
  </si>
  <si>
    <t>Customer (client=1)</t>
  </si>
  <si>
    <t>Active (1)</t>
  </si>
  <si>
    <t>Khach hang mac dinh dung cho Proposal va Invoice</t>
  </si>
  <si>
    <t>2</t>
  </si>
  <si>
    <t>Cong ty BCD</t>
  </si>
  <si>
    <t>CU2609-00002</t>
  </si>
  <si>
    <t>Khach hang mac dinh thu hai</t>
  </si>
  <si>
    <t>HÓA ĐƠN MỐC SAU LUỒNG BÁN HÀNG CHUẨN (POST-SALES INVOICE BASELINE - CYCLE 4)</t>
  </si>
  <si>
    <t>InvoiceRef</t>
  </si>
  <si>
    <t>Customer</t>
  </si>
  <si>
    <t>Product</t>
  </si>
  <si>
    <t>Quantity</t>
  </si>
  <si>
    <t>TotalHT</t>
  </si>
  <si>
    <t>VAT</t>
  </si>
  <si>
    <t>TotalTTC</t>
  </si>
  <si>
    <t>StockPR003After</t>
  </si>
  <si>
    <t>IN2609-0002</t>
  </si>
  <si>
    <t>Validated (fk_statut=1)</t>
  </si>
  <si>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</si>
  <si>
    <t>DỮ LIỆU KIỂM THỬ THỦ CÔNG — HÓA ĐƠN ĐẶC BIỆT (MANUAL TEST DATA — SPECIAL INVOICES)</t>
  </si>
  <si>
    <t>InvoiceContext</t>
  </si>
  <si>
    <t>InputData_1</t>
  </si>
  <si>
    <t>InputData_2</t>
  </si>
  <si>
    <t>ExpectedResult_1</t>
  </si>
  <si>
    <t>ExpectedResult_2</t>
  </si>
  <si>
    <t>Hóa đơn Not paid (Cong ty ABC, 110.00 €)</t>
  </si>
  <si>
    <t>Action=Cancel/Abandon</t>
  </si>
  <si>
    <t>Reason="Khach hang doi y huy don"</t>
  </si>
  <si>
    <t>Status="Canceled" / "Abandoned"</t>
  </si>
  <si>
    <t>RemainsToPay=0.00 €; Nút Enter payment bị ẩn</t>
  </si>
  <si>
    <t>Hóa đơn gốc Validated/Paid (Cong ty ABC, 110.00 €)</t>
  </si>
  <si>
    <t>Action=Create credit note</t>
  </si>
  <si>
    <t>Product=PR001, Qty=1, UnitPrice=100 €</t>
  </si>
  <si>
    <t>Ref="AV...", Status="Not paid"</t>
  </si>
  <si>
    <t>Total HT=-100.00 €, VAT=-10.00 €, Total TTC=-110.00 €</t>
  </si>
  <si>
    <t>Hóa đơn Not paid (Cong ty ABC, Total TTC=220.00 €)</t>
  </si>
  <si>
    <t>Action=Enter payment</t>
  </si>
  <si>
    <t>PaidAmount=100.00 €, Mode="Cash"</t>
  </si>
  <si>
    <t>Status="Started" (Partially paid)</t>
  </si>
  <si>
    <t>AlreadyPaid=100.00 €, RemainsToPay=120.00 €</t>
  </si>
  <si>
    <t>Hóa đơn Started (Cong ty ABC, Remains=120.00 €)</t>
  </si>
  <si>
    <t>PaidAmount=120.00 €, Mode="Cash"</t>
  </si>
  <si>
    <t>Status="Paid" (Đã trả đủ)</t>
  </si>
  <si>
    <t>AlreadyPaid=220.00 €, RemainsToPay=0.00 €</t>
  </si>
  <si>
    <t>DỮ LIỆU KIỂM THỬ THỦ CÔNG — QUẢN LÝ TỒN KHO (MANUAL TEST DATA — STOCK MANAGEMENT)</t>
  </si>
  <si>
    <t>AdjustmentAction_Qty</t>
  </si>
  <si>
    <t>ExpectedResult</t>
  </si>
  <si>
    <t>Thao tác Add: +10 (Kiem ke thua)</t>
  </si>
  <si>
    <t>Tồn mới = 40; Biến động +10 trong Stock movements</t>
  </si>
  <si>
    <t>Thao tác Remove: -5 (Hang hu hong)</t>
  </si>
  <si>
    <t>Tồn mới = 35; Biến động -5 trong Stock movements</t>
  </si>
  <si>
    <t>Thao tác Remove: -100 (Vượt biên 11 cái)</t>
  </si>
  <si>
    <t>Chặn lưu (nếu cấm âm) HOẶC Tồn = -11 (báo đỏ nếu cho phép âm)</t>
  </si>
  <si>
    <t>Limit=10, Desired=50; Remove: -32 (Tồn còn 8)</t>
  </si>
  <si>
    <t>Tồn = 8 (&lt; 10); Hiện cảnh báo tam giác vàng; Replenish đề xuất 42</t>
  </si>
  <si>
    <t>DỮ LIỆU KIỂM THỬ THỦ CÔNG — BỔ SUNG SAU REVIEW 08/10/2026 (HÓA ĐƠN)</t>
  </si>
  <si>
    <t>Hóa đơn Started (Cong ty ABC, AlreadyPaid=100.00€, Remains=120.00€)</t>
  </si>
  <si>
    <t>Action=Cancel/Abandon (thử trên hóa đơn đã có thanh toán)</t>
  </si>
  <si>
    <t>-</t>
  </si>
  <si>
    <t>Nút Cancel bị ẩn HOẶC hệ thống từ chối</t>
  </si>
  <si>
    <t>Trạng thái KHÔNG chuyển Canceled nếu còn thanh toán</t>
  </si>
  <si>
    <t>Hóa đơn Started (Cong ty ABC, Remains=120.00€)</t>
  </si>
  <si>
    <t>PaidAmount=150.00€ (vượt biên +30.00€)</t>
  </si>
  <si>
    <t>Từ chối lưu, Remains giữ 120.00€ HOẶC</t>
  </si>
  <si>
    <t>Paid + Credit/Excess 30.00€ ghi nhận cho khách hàng</t>
  </si>
  <si>
    <t>DỮ LIỆU KIỂM THỬ THỦ CÔNG — BỔ SUNG SAU REVIEW 08/10/2026 (TỒN KHO)</t>
  </si>
  <si>
    <t>Thao tác Remove: -40 (đúng = tồn hiện có)</t>
  </si>
  <si>
    <t>Tồn mới = 0; Lưu thành công KHÔNG báo lỗi; Biến động -40 trong Stock movements</t>
  </si>
  <si>
    <t>Thao tác Remove: -90 (vượt biên đúng +1)</t>
  </si>
  <si>
    <t>Chặn lưu tại 90 (nếu cấm âm) HOẶC Tồn = -1 (báo đỏ nếu cho phép âm)</t>
  </si>
  <si>
    <t>Limit=10, Desired=50; Remove: -30 (Tồn còn 10 = đúng ngưỡng)</t>
  </si>
  <si>
    <t>Tồn = 10 (= ngưỡng); xác định toán tử &lt; hay &lt;= qua kết quả cảnh báo/Replenishment thực tế</t>
  </si>
  <si>
    <t>DỮ LIỆU BỔ SUNG — ĐỢT MỞ RỘNG ĐÀO SÂU 25 TEST CASES (08/10/2026)</t>
  </si>
  <si>
    <t>Context</t>
  </si>
  <si>
    <t>TestDataInput</t>
  </si>
  <si>
    <t>ExpectedBehaviorSummary</t>
  </si>
  <si>
    <t>Hệ thống từ chối lưu hoặc hiển thị cảnh báo định dạng Email không hợp lệ cho cả 2 giá trị; nếu Dolib...</t>
  </si>
  <si>
    <t>Lưu thành công; trang chi tiết hiển thị đúng Email vừa nhập -- đối chứng happy-path cho field Email,...</t>
  </si>
  <si>
    <t>Lưu thành công, trang chi tiết hiển thị đúng SĐT "0912345678" (10 chữ số, không bị cắt/đổi định dạng...</t>
  </si>
  <si>
    <t>Ghi nhận hành vi thực tế quan sát được: Dolibarr mặc định để field Phone dạng free-text nên CÓ THỂ l...</t>
  </si>
  <si>
    <t>Hệ thống CHẶN xóa và hiển thị lỗi ràng buộc dữ liệu (ví dụ "Can not delete, this thirdparty has invo...</t>
  </si>
  <si>
    <t>Ghi nhận hành vi thực tế: Dolibarr mặc định KHÔNG ràng buộc UNIQUE trên tên, nên hệ thống cho phép l...</t>
  </si>
  <si>
    <t>Kết quả tìm kiếm trả về đúng khách hàng "Cong ty ABC" (case-insensitive search hoạt động đúng, hành ...</t>
  </si>
  <si>
    <t>Hệ thống KHÔNG trả về toàn bộ danh sách khách hàng (dấu hiệu injection thành công) và KHÔNG phát sin...</t>
  </si>
  <si>
    <t>Hóa đơn Draft bị XÓA HẲN khỏi hệ thống (khác với hủy hóa đơn Validated ở TC_SAL_009, nơi hóa đơn chỉ...</t>
  </si>
  <si>
    <t>Hóa đơn hoàn tiền ghi nhận: Total HT=-200.00 €, VAT=-20.00 €, Total TTC=-220.00 € (đúng một nửa giá ...</t>
  </si>
  <si>
    <t>Hệ thống từ chối lưu giao dịch thanh toán 0 € (biên dưới không hợp lệ), hiển thị lỗi dạng "Amount mu...</t>
  </si>
  <si>
    <t>Hệ thống từ chối lưu (biên dưới không hợp lệ, giá trị âm), hiển thị lỗi validation; KHÔNG phát sinh ...</t>
  </si>
  <si>
    <t>Giao dịch ghi nhận đúng PaymentMode="Bank transfer"; trạng thái hóa đơn chuyển "Paid"; Already paid=...</t>
  </si>
  <si>
    <t>Hệ thống CHẶN Validate, hiển thị lỗi dạng "Cannot validate an invoice with no line" hoặc tương đương...</t>
  </si>
  <si>
    <t>Credit note phản ánh ĐÚNG giá trị SAU chiết khấu ở dạng âm: Total HT=-180.00 €, VAT=-18.00 €, Total ...</t>
  </si>
  <si>
    <t>Ghi nhận hành vi thực tế: (a) hệ thống chặn/ẩn nút "Create credit note" vì hóa đơn gốc đã được hoàn ...</t>
  </si>
  <si>
    <t>PDF xuất ra hiển thị rõ nhãn/watermark trạng thái hủy (ví dụ "CANCELED"/"ANNULÉE" hoặc badge tương đ...</t>
  </si>
  <si>
    <t>Thời gian xử lý ≤ 5 giây (ngưỡng tham khảo nhóm tự đặt do đề bài không quy định SLA chính thức) -- g...</t>
  </si>
  <si>
    <t>Hệ thống từ chối lưu hoặc tự động chặn nhập ký tự không phải số ngay tại ô input (validation HTML5 t...</t>
  </si>
  <si>
    <t>Ghi nhận hành vi thực tế: hệ thống từ chối (vì thao tác Add theo thiết kế UI chỉ nhận số dương) HOẶC...</t>
  </si>
  <si>
    <t>Hệ thống KHÔNG tạo dòng biến động mới có ý nghĩa trong Stock movements (hoặc tạo dòng "+0" vô nghĩa ...</t>
  </si>
  <si>
    <t>Tồn kho PR003 = 13 đơn vị (8+5); biểu tượng cảnh báo tam giác vàng BIẾN MẤT khỏi trang chi tiết và d...</t>
  </si>
  <si>
    <t>Hệ thống hiển thị rõ ràng số lượng tồn = 0 (không để trống gây nhầm lẫn), có thể kèm biểu tượng/màu ...</t>
  </si>
  <si>
    <t>Khảo sát 1 trong 2 hành vi: (a) Hệ thống tính lại tồn tại thời điểm Save (không dùng giá trị đã đọc ...</t>
  </si>
  <si>
    <t>Thời gian tải trang &lt;= 3 giây (ngưỡng tham khảo tự đặt) -- ghi nhận số liệu thực tế đo bằng Stopwatc...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</si>
  <si>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</si>
  <si>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</si>
  <si>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</si>
  <si>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</si>
  <si>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</si>
  <si>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</si>
  <si>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</si>
  <si>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</si>
  <si>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</si>
  <si>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</si>
  <si>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</si>
  <si>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</si>
  <si>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</si>
  <si>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</si>
  <si>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</si>
  <si>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</si>
  <si>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</si>
  <si>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</si>
  <si>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</si>
  <si>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evidence/automation/TC_CRM_010_fail_bug001.png</t>
  </si>
  <si>
    <t>2026-10-05</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</si>
  <si>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</si>
  <si>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</si>
  <si>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</si>
  <si>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</si>
  <si>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</si>
  <si>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</si>
  <si>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</si>
  <si>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</si>
  <si>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</si>
  <si>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</si>
  <si>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</si>
  <si>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</si>
  <si>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</si>
  <si>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</si>
  <si>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</si>
  <si>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</si>
  <si>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</si>
  <si>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</si>
  <si>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</si>
  <si>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</si>
  <si>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</si>
  <si>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</si>
  <si>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</si>
  <si>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</si>
  <si>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</si>
  <si>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</si>
  <si>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</si>
  <si>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</si>
  <si>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</si>
  <si>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</si>
  <si>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</si>
  <si>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</si>
  <si>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</si>
  <si>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</si>
  <si>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</si>
  <si>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</si>
  <si>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</si>
  <si>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</si>
  <si>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</si>
  <si>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</si>
  <si>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</si>
  <si>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</si>
  <si>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2026-10-03</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</si>
  <si>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</si>
  <si>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</si>
  <si>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</si>
  <si>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</si>
  <si>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</si>
  <si>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</si>
  <si>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</si>
  <si>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</si>
  <si>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</si>
  <si>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</si>
  <si>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</si>
  <si>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</si>
  <si>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</si>
  <si>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</si>
  <si>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</si>
  <si>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</si>
  <si>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</si>
  <si>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</si>
  <si>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</si>
  <si>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</si>
  <si>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</si>
  <si>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</si>
  <si>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</si>
  <si>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</si>
  <si>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</si>
  <si>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</si>
  <si>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</si>
  <si>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</si>
  <si>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</si>
  <si>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</si>
  <si>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</si>
  <si>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</si>
  <si>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</si>
  <si>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</si>
  <si>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</si>
  <si>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</si>
  <si>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</si>
  <si>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</si>
  <si>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</si>
  <si>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</si>
  <si>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</si>
  <si>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</si>
  <si>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</si>
  <si>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</si>
  <si>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</si>
  <si>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</si>
  <si>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</si>
  <si>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</si>
  <si>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</si>
  <si>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</si>
  <si>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</si>
  <si>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</si>
  <si>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</si>
  <si>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</si>
  <si>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</si>
  <si>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</si>
  <si>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</si>
  <si>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</si>
  <si>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</si>
  <si>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</si>
  <si>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Kiểm tra chất lượng / Quản lý kiểm thử</t>
  </si>
  <si>
    <t>Antigravity Agent (Gemini 2.5)</t>
  </si>
  <si>
    <t>Rà soát tính trung thực dữ liệu, tuân thủ AGENTS.md Quy tắc 1, phân định ranh giới Automation vs Manual, chuẩn hóa bảng giá và mốc sạch baseline</t>
  </si>
  <si>
    <t>Người dùng phê bình việc tự động ghi Pass cho 8 ca Manual, đề xuất xóa SQL tạo mốc giả, thiếu nguồn giá PR001-PR004 và yêu cầu kiểm tra TC_CRM_001-004.</t>
  </si>
  <si>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</si>
  <si>
    <t>Người dùng chọn Phương án A, yêu cầu trích nguyên văn AGENTS.md, cấm dọn DB bằng SQL, yêu cầu truy vấn giá thật và grep chứng minh đã gỡ hết lời gọi ghi Excel.</t>
  </si>
  <si>
    <t>Phân định rõ ranh giới kết quả Automation và Manual; mốc kiểm thử phải đến từ seed cài đặt thay vì can thiệp SQL trên DB chạy dở; các khẳng định trong báo cáo phải đi kèm lệnh kiểm chứng thực tế.</t>
  </si>
  <si>
    <t>Lập trình / Kiểm tra chất lượng / Hạ tầng kiểm thử</t>
  </si>
  <si>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</si>
  <si>
    <t>Người dùng yêu cầu chạy Fresh Install Wizard cho schema dolibarr_clean, cấm lộ mật khẩu ra CLI/log, không can thiệp schema cũ, sau đó thiết lập baseline sạch và chạy kiểm thử tự động nghiệm thu.</t>
  </si>
  <si>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</si>
  <si>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</si>
  <si>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</si>
  <si>
    <t>Kiểm tra chất lượng / Quản lý kiểm thử &amp; Tính trung thực dữ liệu</t>
  </si>
  <si>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</si>
  <si>
    <t>Người dùng phê bình nghiêm khắc việc tự ý chuyển 8 ca Manual thành Pass khi người dùng chưa tự tay chạy nghiệm thu, yêu cầu trả về đúng 19/28 Pass (67.9%) và cung cấp đầy đủ output thực tế của 6 mục kiểm chứng.</t>
  </si>
  <si>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</si>
  <si>
    <t>Phải sửa (Đã khắc phục)</t>
  </si>
  <si>
    <t>Người dùng kiên quyết chấn chỉnh tính trung thực của báo cáo, yêu cầu xuất output thật cho từng mục trước khi xem xét bất kỳ bước nào tiếp theo.</t>
  </si>
  <si>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</si>
  <si>
    <t>Lập trình / Kiểm tra chất lượng / Tối ưu hóa thực thi test suite</t>
  </si>
  <si>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</si>
  <si>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</si>
  <si>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</si>
  <si>
    <t>Người dùng yêu cầu không kết luận vội, đặt giả thuyết race condition và hướng dẫn cô lập nguyên nhân bằng chạy đơn lẻ, quyết định chuyển sang tuần tự cấp assembly, yêu cầu đối chiếu ảnh chụp và log chi tiết.</t>
  </si>
  <si>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</si>
  <si>
    <t>Thiết kế / Lập trình / Kiểm tra chất lượng</t>
  </si>
  <si>
    <t>Mở rộng bộ kiểm thử tự động Sales &amp; Invoicing với 3 ca mới (TC_SAL_013, TC_SAL_014, TC_SAL_015) theo yêu cầu người dùng, đảm bảo assert số học cụ thể, luồng nghiệp vụ Refused và Thanh toán 100%.</t>
  </si>
  <si>
    <t>Người dùng đồng ý triển khai 3 test case tự động mới: chiết khấu %, đóng báo giá Refused không cho tạo hóa đơn, thanh toán hóa đơn 100% chuyển sang Paid.</t>
  </si>
  <si>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</si>
  <si>
    <t>Người dùng phê duyệt triển khai 3 ca kiểm thử mở rộng cho nghiệp vụ Bán hàng và yêu cầu duy trì tính trung thực số liệu, kiểm chứng mốc sạch trước và sau khi chạy.</t>
  </si>
  <si>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</si>
  <si>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</si>
  <si>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</si>
  <si>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</si>
  <si>
    <t>Người dùng định hướng chuẩn hóa chuyên sâu cho 8 ca Manual thay vì mở rộng dàn trải, yêu cầu kiểm chứng số học và assert định lượng.</t>
  </si>
  <si>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</si>
  <si>
    <t>Kiểm tra chất lượng / Thiết kế bổ sung</t>
  </si>
  <si>
    <t>Claude (Sonnet, claude.ai)</t>
  </si>
  <si>
    <t>Review kỹ thuật 8 ca Manual (TC_SAL_009..012, TC_STK_001..004): soi BVA/EP/ST, tính định lượng Assert, đối chiếu dữ liệu nền với AI Log và tài liệu tiến độ; bổ sung Bước 0 và 5 ca mới sau review.</t>
  </si>
  <si>
    <t>Người dùng yêu cầu review độc lập bản 8 ca tự thiết kế (so với BVA/EP/ST chuẩn, assert định lượng, biên còn thiếu) và đối chiếu với log AI trước đó, sau đó viết bổ sung trực tiếp vào Excel.</t>
  </si>
  <si>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</si>
  <si>
    <t>Người dùng yêu cầu review độc lập trước khi tự tay chạy nghiệm thu, nhằm tránh sửa đi sửa lại sau khi đã có Actual.</t>
  </si>
  <si>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</si>
  <si>
    <t>Thiết kế / Kiểm tra chất lượng</t>
  </si>
  <si>
    <t>Mở rộng bộ kiểm thử đợt 2 theo kịch bản người dùng cung cấp: bổ sung 25 ca kiểm thử đa dạng (12 Automation + 13 Manual) bao quát kiểm thử biên BVA, phân vùng EP, Negative validation, Bảo mật SQLi, Tương tranh Concurrency và Hiệu năng.</t>
  </si>
  <si>
    <t>Người dùng cung cấp script mở rộng 25 ca kiểm thử mới (TC_CRM_017..024, TC_SAL_018..027, TC_STK_008..014) và yêu cầu mở rộng cả automation test và manual test.</t>
  </si>
  <si>
    <t>Thêm đầy đủ 25 ca mới vào sheet Test Cases (tổng cộng 61 TC); cập nhật 25 dòng vào Traceability; bổ sung dữ liệu vào Test Data; cập nhật AI Log STT 21; bảo toàn 100% kết quả cũ (22 Pass, 1 Fail, 38 Not Run); chạy recalculate_excel.ps1 thành công.</t>
  </si>
  <si>
    <t>Người dùng tự thiết kế kịch bản mở rộng đào sâu 25 ca kiểm thử cho cả Automation và Manual, yêu cầu tích hợp trực tiếp vào Excel.</t>
  </si>
  <si>
    <t>Mở rộng kiểm thử sang các khía cạnh phi chức năng (bảo mật, tương tranh, hiệu năng) và các trường thông tin phụ (email, phone, case-insensitive) giúp đồ án đạt chiều sâu kỹ thuật xuất sắc theo chuẩn rubric 6 tín chỉ.</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</si>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</sst>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charset val="1"/>
    </font>
    <font>
      <b/>
      <sz val="10"/>
      <color rgb="FFFFFFFF"/>
      <name val="Calibri"/>
      <charset val="1"/>
    </font>
    <font>
      <b/>
      <sz val="11"/>
      <name val="Calibri"/>
      <charset val="1"/>
    </font>
  </fonts>
  <fills count="3">
    <fill>
      <patternFill patternType="none"/>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0" fontId="0" fillId="0" borderId="0" xfId="0" applyAlignment="1">
      <alignment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2"/>
  <sheetViews>
    <sheetView tabSelected="1" zoomScaleNormal="100" workbookViewId="0"/>
  </sheetViews>
  <sheetFormatPr defaultColWidth="8.6328125"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20" ht="27.7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t="s">
        <v>19</v>
      </c>
    </row>
    <row r="2" spans="1:20" ht="79.5" customHeight="1" x14ac:dyDescent="0.35">
      <c r="A2" s="2" t="s">
        <v>20</v>
      </c>
      <c r="B2" s="2" t="s">
        <v>21</v>
      </c>
      <c r="C2" s="2" t="s">
        <v>22</v>
      </c>
      <c r="D2" s="2" t="s">
        <v>23</v>
      </c>
      <c r="E2" s="2" t="s">
        <v>24</v>
      </c>
      <c r="F2" s="2" t="s">
        <v>25</v>
      </c>
      <c r="G2" s="2" t="s">
        <v>26</v>
      </c>
      <c r="H2" s="2" t="s">
        <v>27</v>
      </c>
      <c r="I2" s="2" t="s">
        <v>28</v>
      </c>
      <c r="J2" s="2" t="s">
        <v>29</v>
      </c>
      <c r="K2" s="2" t="s">
        <v>30</v>
      </c>
      <c r="L2" s="2" t="s">
        <v>31</v>
      </c>
      <c r="M2" s="2" t="s">
        <v>32</v>
      </c>
      <c r="N2" s="2" t="s">
        <v>33</v>
      </c>
      <c r="O2" s="2" t="s">
        <v>34</v>
      </c>
      <c r="P2" s="2" t="s">
        <v>35</v>
      </c>
      <c r="Q2" s="2"/>
      <c r="R2" s="2" t="s">
        <v>36</v>
      </c>
      <c r="S2" s="2" t="s">
        <v>37</v>
      </c>
    </row>
    <row r="3" spans="1:20" ht="99.75" customHeight="1" x14ac:dyDescent="0.35">
      <c r="A3" s="2" t="s">
        <v>38</v>
      </c>
      <c r="B3" s="2" t="s">
        <v>21</v>
      </c>
      <c r="C3" s="2" t="s">
        <v>22</v>
      </c>
      <c r="D3" s="2" t="s">
        <v>23</v>
      </c>
      <c r="E3" s="2" t="s">
        <v>39</v>
      </c>
      <c r="F3" s="2" t="s">
        <v>25</v>
      </c>
      <c r="G3" s="2" t="s">
        <v>26</v>
      </c>
      <c r="H3" s="2" t="s">
        <v>27</v>
      </c>
      <c r="I3" s="2" t="s">
        <v>28</v>
      </c>
      <c r="J3" s="2" t="s">
        <v>40</v>
      </c>
      <c r="K3" s="2" t="s">
        <v>41</v>
      </c>
      <c r="L3" s="2" t="s">
        <v>42</v>
      </c>
      <c r="M3" s="2" t="s">
        <v>43</v>
      </c>
      <c r="N3" s="2" t="s">
        <v>33</v>
      </c>
      <c r="O3" s="2" t="s">
        <v>34</v>
      </c>
      <c r="P3" s="2" t="s">
        <v>44</v>
      </c>
      <c r="Q3" s="2"/>
      <c r="R3" s="2" t="s">
        <v>36</v>
      </c>
      <c r="S3" s="2" t="s">
        <v>37</v>
      </c>
    </row>
    <row r="4" spans="1:20" ht="87" customHeight="1" x14ac:dyDescent="0.35">
      <c r="A4" s="2" t="s">
        <v>45</v>
      </c>
      <c r="B4" s="2" t="s">
        <v>21</v>
      </c>
      <c r="C4" s="2" t="s">
        <v>22</v>
      </c>
      <c r="D4" s="2" t="s">
        <v>46</v>
      </c>
      <c r="E4" s="2" t="s">
        <v>47</v>
      </c>
      <c r="F4" s="2" t="s">
        <v>48</v>
      </c>
      <c r="G4" s="2" t="s">
        <v>26</v>
      </c>
      <c r="H4" s="2" t="s">
        <v>27</v>
      </c>
      <c r="I4" s="2" t="s">
        <v>28</v>
      </c>
      <c r="J4" s="2" t="s">
        <v>49</v>
      </c>
      <c r="K4" s="2"/>
      <c r="L4" s="2" t="s">
        <v>50</v>
      </c>
      <c r="M4" s="2" t="s">
        <v>51</v>
      </c>
      <c r="N4" s="2" t="s">
        <v>33</v>
      </c>
      <c r="O4" s="2" t="s">
        <v>34</v>
      </c>
      <c r="P4" s="2" t="s">
        <v>52</v>
      </c>
      <c r="Q4" s="2"/>
      <c r="R4" s="2" t="s">
        <v>36</v>
      </c>
      <c r="S4" s="2" t="s">
        <v>37</v>
      </c>
    </row>
    <row r="5" spans="1:20" ht="87" customHeight="1" x14ac:dyDescent="0.35">
      <c r="A5" s="2" t="s">
        <v>53</v>
      </c>
      <c r="B5" s="2" t="s">
        <v>21</v>
      </c>
      <c r="C5" s="2" t="s">
        <v>22</v>
      </c>
      <c r="D5" s="2" t="s">
        <v>46</v>
      </c>
      <c r="E5" s="2" t="s">
        <v>54</v>
      </c>
      <c r="F5" s="2" t="s">
        <v>25</v>
      </c>
      <c r="G5" s="2" t="s">
        <v>55</v>
      </c>
      <c r="H5" s="2" t="s">
        <v>27</v>
      </c>
      <c r="I5" s="2" t="s">
        <v>28</v>
      </c>
      <c r="J5" s="2" t="s">
        <v>56</v>
      </c>
      <c r="K5" s="2" t="s">
        <v>57</v>
      </c>
      <c r="L5" s="2" t="s">
        <v>58</v>
      </c>
      <c r="M5" s="2" t="s">
        <v>59</v>
      </c>
      <c r="N5" s="2" t="s">
        <v>33</v>
      </c>
      <c r="O5" s="2" t="s">
        <v>34</v>
      </c>
      <c r="P5" s="2" t="s">
        <v>60</v>
      </c>
      <c r="Q5" s="2"/>
      <c r="R5" s="2" t="s">
        <v>36</v>
      </c>
      <c r="S5" s="2" t="s">
        <v>37</v>
      </c>
    </row>
    <row r="6" spans="1:20" ht="101.25" customHeight="1" x14ac:dyDescent="0.35">
      <c r="A6" s="2" t="s">
        <v>61</v>
      </c>
      <c r="B6" s="2" t="s">
        <v>21</v>
      </c>
      <c r="C6" s="2" t="s">
        <v>22</v>
      </c>
      <c r="D6" s="2" t="s">
        <v>62</v>
      </c>
      <c r="E6" s="2" t="s">
        <v>63</v>
      </c>
      <c r="F6" s="2" t="s">
        <v>64</v>
      </c>
      <c r="G6" s="2" t="s">
        <v>55</v>
      </c>
      <c r="H6" s="2" t="s">
        <v>27</v>
      </c>
      <c r="I6" s="2" t="s">
        <v>28</v>
      </c>
      <c r="J6" s="2" t="s">
        <v>65</v>
      </c>
      <c r="K6" s="2" t="s">
        <v>66</v>
      </c>
      <c r="L6" s="2" t="s">
        <v>67</v>
      </c>
      <c r="M6" s="2" t="s">
        <v>68</v>
      </c>
      <c r="N6" s="2" t="s">
        <v>33</v>
      </c>
      <c r="O6" s="2" t="s">
        <v>34</v>
      </c>
      <c r="P6" s="2" t="s">
        <v>69</v>
      </c>
      <c r="Q6" s="2"/>
      <c r="R6" s="2" t="s">
        <v>36</v>
      </c>
      <c r="S6" s="2" t="s">
        <v>37</v>
      </c>
    </row>
    <row r="7" spans="1:20" ht="202.5" customHeight="1" x14ac:dyDescent="0.35">
      <c r="A7" s="2" t="s">
        <v>70</v>
      </c>
      <c r="B7" s="2" t="s">
        <v>21</v>
      </c>
      <c r="C7" s="2" t="s">
        <v>22</v>
      </c>
      <c r="D7" s="2" t="s">
        <v>71</v>
      </c>
      <c r="E7" s="2" t="s">
        <v>72</v>
      </c>
      <c r="F7" s="2" t="s">
        <v>64</v>
      </c>
      <c r="G7" s="2" t="s">
        <v>26</v>
      </c>
      <c r="H7" s="2" t="s">
        <v>27</v>
      </c>
      <c r="I7" s="2" t="s">
        <v>28</v>
      </c>
      <c r="J7" s="2" t="s">
        <v>73</v>
      </c>
      <c r="K7" s="2" t="s">
        <v>74</v>
      </c>
      <c r="L7" s="2" t="s">
        <v>75</v>
      </c>
      <c r="M7" s="2" t="s">
        <v>76</v>
      </c>
      <c r="N7" s="2" t="s">
        <v>77</v>
      </c>
      <c r="O7" s="2" t="s">
        <v>34</v>
      </c>
      <c r="P7" s="2" t="s">
        <v>78</v>
      </c>
      <c r="Q7" s="2" t="s">
        <v>79</v>
      </c>
      <c r="R7" s="2" t="s">
        <v>80</v>
      </c>
      <c r="S7" s="2" t="s">
        <v>37</v>
      </c>
    </row>
    <row r="8" spans="1:20" ht="101.25" customHeight="1" x14ac:dyDescent="0.35">
      <c r="A8" s="2" t="s">
        <v>81</v>
      </c>
      <c r="B8" s="2" t="s">
        <v>21</v>
      </c>
      <c r="C8" s="2" t="s">
        <v>22</v>
      </c>
      <c r="D8" s="2" t="s">
        <v>82</v>
      </c>
      <c r="E8" s="2" t="s">
        <v>83</v>
      </c>
      <c r="F8" s="2" t="s">
        <v>48</v>
      </c>
      <c r="G8" s="2" t="s">
        <v>55</v>
      </c>
      <c r="H8" s="2" t="s">
        <v>27</v>
      </c>
      <c r="I8" s="2" t="s">
        <v>28</v>
      </c>
      <c r="J8" s="2" t="s">
        <v>84</v>
      </c>
      <c r="K8" s="2" t="s">
        <v>85</v>
      </c>
      <c r="L8" s="2" t="s">
        <v>86</v>
      </c>
      <c r="M8" s="2" t="s">
        <v>87</v>
      </c>
      <c r="N8" s="2" t="s">
        <v>33</v>
      </c>
      <c r="O8" s="2" t="s">
        <v>34</v>
      </c>
      <c r="P8" s="2" t="s">
        <v>88</v>
      </c>
      <c r="Q8" s="2"/>
      <c r="R8" s="2" t="s">
        <v>36</v>
      </c>
      <c r="S8" s="2" t="s">
        <v>37</v>
      </c>
    </row>
    <row r="9" spans="1:20" ht="72.5" customHeight="1" x14ac:dyDescent="0.35">
      <c r="A9" t="s">
        <v>89</v>
      </c>
      <c r="B9" t="s">
        <v>21</v>
      </c>
      <c r="C9" t="s">
        <v>90</v>
      </c>
      <c r="D9" t="s">
        <v>91</v>
      </c>
      <c r="E9" t="s">
        <v>92</v>
      </c>
      <c r="F9" t="s">
        <v>93</v>
      </c>
      <c r="G9" t="s">
        <v>26</v>
      </c>
      <c r="H9" t="s">
        <v>27</v>
      </c>
      <c r="I9" t="s">
        <v>94</v>
      </c>
      <c r="J9" s="3" t="s">
        <v>95</v>
      </c>
      <c r="K9" t="s">
        <v>96</v>
      </c>
      <c r="L9" t="s">
        <v>97</v>
      </c>
      <c r="M9" t="s">
        <v>98</v>
      </c>
      <c r="N9" t="s">
        <v>33</v>
      </c>
      <c r="O9" t="s">
        <v>34</v>
      </c>
      <c r="P9" t="s">
        <v>99</v>
      </c>
      <c r="R9" t="s">
        <v>36</v>
      </c>
      <c r="S9" t="s">
        <v>100</v>
      </c>
    </row>
    <row r="10" spans="1:20" ht="72.5" customHeight="1" x14ac:dyDescent="0.35">
      <c r="A10" t="s">
        <v>101</v>
      </c>
      <c r="B10" t="s">
        <v>21</v>
      </c>
      <c r="C10" t="s">
        <v>102</v>
      </c>
      <c r="D10" t="s">
        <v>103</v>
      </c>
      <c r="E10" t="s">
        <v>104</v>
      </c>
      <c r="F10" t="s">
        <v>64</v>
      </c>
      <c r="G10" t="s">
        <v>26</v>
      </c>
      <c r="H10" t="s">
        <v>27</v>
      </c>
      <c r="I10" t="s">
        <v>105</v>
      </c>
      <c r="J10" s="3" t="s">
        <v>106</v>
      </c>
      <c r="K10" t="s">
        <v>107</v>
      </c>
      <c r="L10" t="s">
        <v>108</v>
      </c>
      <c r="M10" t="s">
        <v>109</v>
      </c>
      <c r="N10" t="s">
        <v>33</v>
      </c>
      <c r="O10" t="s">
        <v>34</v>
      </c>
      <c r="P10" t="s">
        <v>110</v>
      </c>
      <c r="R10" t="s">
        <v>36</v>
      </c>
      <c r="S10" t="s">
        <v>100</v>
      </c>
    </row>
    <row r="11" spans="1:20" ht="72.5" customHeight="1" x14ac:dyDescent="0.35">
      <c r="A11" t="s">
        <v>111</v>
      </c>
      <c r="B11" t="s">
        <v>21</v>
      </c>
      <c r="C11" t="s">
        <v>102</v>
      </c>
      <c r="D11" t="s">
        <v>112</v>
      </c>
      <c r="E11" t="s">
        <v>113</v>
      </c>
      <c r="F11" t="s">
        <v>64</v>
      </c>
      <c r="G11" t="s">
        <v>55</v>
      </c>
      <c r="H11" t="s">
        <v>27</v>
      </c>
      <c r="I11" t="s">
        <v>114</v>
      </c>
      <c r="J11" s="3" t="s">
        <v>115</v>
      </c>
      <c r="K11" t="s">
        <v>116</v>
      </c>
      <c r="L11" t="s">
        <v>117</v>
      </c>
      <c r="M11" t="s">
        <v>118</v>
      </c>
      <c r="N11" t="s">
        <v>33</v>
      </c>
      <c r="O11" t="s">
        <v>34</v>
      </c>
      <c r="P11" t="s">
        <v>119</v>
      </c>
      <c r="R11" t="s">
        <v>36</v>
      </c>
      <c r="S11" t="s">
        <v>100</v>
      </c>
    </row>
    <row r="12" spans="1:20" ht="87" customHeight="1" x14ac:dyDescent="0.35">
      <c r="A12" t="s">
        <v>120</v>
      </c>
      <c r="B12" t="s">
        <v>21</v>
      </c>
      <c r="C12" t="s">
        <v>102</v>
      </c>
      <c r="D12" t="s">
        <v>121</v>
      </c>
      <c r="E12" t="s">
        <v>122</v>
      </c>
      <c r="F12" t="s">
        <v>48</v>
      </c>
      <c r="G12" t="s">
        <v>55</v>
      </c>
      <c r="H12" t="s">
        <v>27</v>
      </c>
      <c r="I12" t="s">
        <v>123</v>
      </c>
      <c r="J12" s="3" t="s">
        <v>124</v>
      </c>
      <c r="K12" t="s">
        <v>125</v>
      </c>
      <c r="L12" t="s">
        <v>126</v>
      </c>
      <c r="M12" t="s">
        <v>127</v>
      </c>
      <c r="N12" t="s">
        <v>33</v>
      </c>
      <c r="O12" t="s">
        <v>34</v>
      </c>
      <c r="P12" t="s">
        <v>128</v>
      </c>
      <c r="R12" t="s">
        <v>36</v>
      </c>
      <c r="S12" t="s">
        <v>100</v>
      </c>
    </row>
    <row r="13" spans="1:20" ht="101.5" customHeight="1" x14ac:dyDescent="0.35">
      <c r="A13" t="s">
        <v>129</v>
      </c>
      <c r="B13" t="s">
        <v>21</v>
      </c>
      <c r="C13" t="s">
        <v>130</v>
      </c>
      <c r="D13" t="s">
        <v>131</v>
      </c>
      <c r="E13" t="s">
        <v>132</v>
      </c>
      <c r="F13" t="s">
        <v>93</v>
      </c>
      <c r="G13" t="s">
        <v>26</v>
      </c>
      <c r="H13" t="s">
        <v>27</v>
      </c>
      <c r="I13" t="s">
        <v>133</v>
      </c>
      <c r="J13" s="3" t="s">
        <v>134</v>
      </c>
      <c r="K13" t="s">
        <v>135</v>
      </c>
      <c r="L13" t="s">
        <v>136</v>
      </c>
      <c r="M13" t="s">
        <v>137</v>
      </c>
      <c r="N13" t="s">
        <v>33</v>
      </c>
      <c r="O13" t="s">
        <v>34</v>
      </c>
      <c r="P13" t="s">
        <v>138</v>
      </c>
      <c r="R13" t="s">
        <v>36</v>
      </c>
      <c r="S13" t="s">
        <v>100</v>
      </c>
    </row>
    <row r="14" spans="1:20" ht="87" customHeight="1" x14ac:dyDescent="0.35">
      <c r="A14" t="s">
        <v>139</v>
      </c>
      <c r="B14" t="s">
        <v>140</v>
      </c>
      <c r="C14" t="s">
        <v>141</v>
      </c>
      <c r="D14" t="s">
        <v>142</v>
      </c>
      <c r="E14" t="s">
        <v>143</v>
      </c>
      <c r="F14" t="s">
        <v>144</v>
      </c>
      <c r="G14" t="s">
        <v>26</v>
      </c>
      <c r="H14" t="s">
        <v>27</v>
      </c>
      <c r="I14" t="s">
        <v>145</v>
      </c>
      <c r="J14" s="3" t="s">
        <v>146</v>
      </c>
      <c r="K14" t="s">
        <v>147</v>
      </c>
      <c r="L14" t="s">
        <v>148</v>
      </c>
      <c r="M14" t="s">
        <v>149</v>
      </c>
      <c r="N14" t="s">
        <v>33</v>
      </c>
      <c r="O14" t="s">
        <v>34</v>
      </c>
      <c r="P14" t="s">
        <v>150</v>
      </c>
      <c r="R14" t="s">
        <v>36</v>
      </c>
      <c r="S14" t="s">
        <v>151</v>
      </c>
    </row>
    <row r="15" spans="1:20" ht="87" customHeight="1" x14ac:dyDescent="0.35">
      <c r="A15" t="s">
        <v>152</v>
      </c>
      <c r="B15" t="s">
        <v>140</v>
      </c>
      <c r="C15" t="s">
        <v>141</v>
      </c>
      <c r="D15" t="s">
        <v>153</v>
      </c>
      <c r="E15" t="s">
        <v>154</v>
      </c>
      <c r="F15" t="s">
        <v>144</v>
      </c>
      <c r="G15" t="s">
        <v>26</v>
      </c>
      <c r="H15" t="s">
        <v>27</v>
      </c>
      <c r="I15" t="s">
        <v>155</v>
      </c>
      <c r="J15" s="3" t="s">
        <v>156</v>
      </c>
      <c r="K15" t="s">
        <v>157</v>
      </c>
      <c r="L15" t="s">
        <v>158</v>
      </c>
      <c r="M15" t="s">
        <v>159</v>
      </c>
      <c r="N15" t="s">
        <v>33</v>
      </c>
      <c r="O15" t="s">
        <v>34</v>
      </c>
      <c r="P15" t="s">
        <v>160</v>
      </c>
      <c r="R15" t="s">
        <v>36</v>
      </c>
      <c r="S15" t="s">
        <v>151</v>
      </c>
    </row>
    <row r="16" spans="1:20" ht="72.5" customHeight="1" x14ac:dyDescent="0.35">
      <c r="A16" t="s">
        <v>161</v>
      </c>
      <c r="B16" t="s">
        <v>140</v>
      </c>
      <c r="C16" t="s">
        <v>141</v>
      </c>
      <c r="D16" t="s">
        <v>162</v>
      </c>
      <c r="E16" t="s">
        <v>163</v>
      </c>
      <c r="F16" t="s">
        <v>144</v>
      </c>
      <c r="G16" t="s">
        <v>26</v>
      </c>
      <c r="H16" t="s">
        <v>27</v>
      </c>
      <c r="I16" t="s">
        <v>164</v>
      </c>
      <c r="J16" s="3" t="s">
        <v>165</v>
      </c>
      <c r="K16" t="s">
        <v>166</v>
      </c>
      <c r="L16" t="s">
        <v>167</v>
      </c>
      <c r="M16" t="s">
        <v>168</v>
      </c>
      <c r="N16" t="s">
        <v>33</v>
      </c>
      <c r="O16" t="s">
        <v>34</v>
      </c>
      <c r="P16" t="s">
        <v>169</v>
      </c>
      <c r="R16" t="s">
        <v>36</v>
      </c>
      <c r="S16" t="s">
        <v>151</v>
      </c>
    </row>
    <row r="17" spans="1:20" ht="58" customHeight="1" x14ac:dyDescent="0.35">
      <c r="A17" t="s">
        <v>170</v>
      </c>
      <c r="B17" t="s">
        <v>140</v>
      </c>
      <c r="C17" t="s">
        <v>141</v>
      </c>
      <c r="D17" t="s">
        <v>171</v>
      </c>
      <c r="E17" t="s">
        <v>172</v>
      </c>
      <c r="F17" t="s">
        <v>173</v>
      </c>
      <c r="G17" t="s">
        <v>26</v>
      </c>
      <c r="H17" t="s">
        <v>27</v>
      </c>
      <c r="I17" t="s">
        <v>174</v>
      </c>
      <c r="J17" s="3" t="s">
        <v>175</v>
      </c>
      <c r="K17" t="s">
        <v>176</v>
      </c>
      <c r="L17" t="s">
        <v>177</v>
      </c>
      <c r="M17" t="s">
        <v>178</v>
      </c>
      <c r="N17" t="s">
        <v>33</v>
      </c>
      <c r="O17" t="s">
        <v>34</v>
      </c>
      <c r="P17" t="s">
        <v>179</v>
      </c>
      <c r="R17" t="s">
        <v>36</v>
      </c>
      <c r="S17" t="s">
        <v>151</v>
      </c>
    </row>
    <row r="18" spans="1:20" ht="58" customHeight="1" x14ac:dyDescent="0.35">
      <c r="A18" t="s">
        <v>180</v>
      </c>
      <c r="B18" t="s">
        <v>140</v>
      </c>
      <c r="C18" t="s">
        <v>141</v>
      </c>
      <c r="D18" t="s">
        <v>181</v>
      </c>
      <c r="E18" t="s">
        <v>182</v>
      </c>
      <c r="F18" t="s">
        <v>173</v>
      </c>
      <c r="G18" t="s">
        <v>26</v>
      </c>
      <c r="H18" t="s">
        <v>27</v>
      </c>
      <c r="I18" t="s">
        <v>183</v>
      </c>
      <c r="J18" s="3" t="s">
        <v>184</v>
      </c>
      <c r="K18" t="s">
        <v>185</v>
      </c>
      <c r="L18" t="s">
        <v>186</v>
      </c>
      <c r="M18" t="s">
        <v>187</v>
      </c>
      <c r="N18" t="s">
        <v>33</v>
      </c>
      <c r="O18" t="s">
        <v>34</v>
      </c>
      <c r="P18" t="s">
        <v>188</v>
      </c>
      <c r="R18" t="s">
        <v>36</v>
      </c>
      <c r="S18" t="s">
        <v>151</v>
      </c>
    </row>
    <row r="19" spans="1:20" ht="72.5" customHeight="1" x14ac:dyDescent="0.35">
      <c r="A19" t="s">
        <v>189</v>
      </c>
      <c r="B19" t="s">
        <v>140</v>
      </c>
      <c r="C19" t="s">
        <v>190</v>
      </c>
      <c r="D19" t="s">
        <v>191</v>
      </c>
      <c r="E19" t="s">
        <v>192</v>
      </c>
      <c r="F19" t="s">
        <v>144</v>
      </c>
      <c r="G19" t="s">
        <v>26</v>
      </c>
      <c r="H19" t="s">
        <v>27</v>
      </c>
      <c r="I19" t="s">
        <v>193</v>
      </c>
      <c r="J19" s="3" t="s">
        <v>194</v>
      </c>
      <c r="K19" t="s">
        <v>195</v>
      </c>
      <c r="L19" t="s">
        <v>196</v>
      </c>
      <c r="M19" t="s">
        <v>197</v>
      </c>
      <c r="N19" t="s">
        <v>33</v>
      </c>
      <c r="O19" t="s">
        <v>34</v>
      </c>
      <c r="P19" t="s">
        <v>198</v>
      </c>
      <c r="R19" t="s">
        <v>199</v>
      </c>
      <c r="S19" t="s">
        <v>151</v>
      </c>
    </row>
    <row r="20" spans="1:20" ht="43.5" customHeight="1" x14ac:dyDescent="0.35">
      <c r="A20" t="s">
        <v>200</v>
      </c>
      <c r="B20" t="s">
        <v>201</v>
      </c>
      <c r="C20" t="s">
        <v>190</v>
      </c>
      <c r="D20" t="s">
        <v>202</v>
      </c>
      <c r="E20" t="s">
        <v>203</v>
      </c>
      <c r="F20" t="s">
        <v>173</v>
      </c>
      <c r="G20" t="s">
        <v>26</v>
      </c>
      <c r="H20" t="s">
        <v>27</v>
      </c>
      <c r="I20" t="s">
        <v>204</v>
      </c>
      <c r="J20" s="3" t="s">
        <v>205</v>
      </c>
      <c r="K20" t="s">
        <v>176</v>
      </c>
      <c r="L20" t="s">
        <v>206</v>
      </c>
      <c r="M20" t="s">
        <v>207</v>
      </c>
      <c r="N20" t="s">
        <v>33</v>
      </c>
      <c r="O20" t="s">
        <v>34</v>
      </c>
      <c r="P20" t="s">
        <v>208</v>
      </c>
      <c r="R20" t="s">
        <v>36</v>
      </c>
      <c r="S20" t="s">
        <v>151</v>
      </c>
    </row>
    <row r="21" spans="1:20" ht="87" customHeight="1" x14ac:dyDescent="0.35">
      <c r="A21" t="s">
        <v>209</v>
      </c>
      <c r="B21" t="s">
        <v>210</v>
      </c>
      <c r="C21" t="s">
        <v>211</v>
      </c>
      <c r="D21" t="s">
        <v>212</v>
      </c>
      <c r="E21" t="s">
        <v>213</v>
      </c>
      <c r="F21" t="s">
        <v>214</v>
      </c>
      <c r="G21" t="s">
        <v>26</v>
      </c>
      <c r="H21" t="s">
        <v>27</v>
      </c>
      <c r="I21" t="s">
        <v>215</v>
      </c>
      <c r="J21" s="3" t="s">
        <v>216</v>
      </c>
      <c r="K21" t="s">
        <v>217</v>
      </c>
      <c r="L21" t="s">
        <v>218</v>
      </c>
      <c r="M21" t="s">
        <v>219</v>
      </c>
      <c r="N21" t="s">
        <v>33</v>
      </c>
      <c r="O21" t="s">
        <v>34</v>
      </c>
      <c r="P21" t="s">
        <v>220</v>
      </c>
      <c r="R21" t="s">
        <v>36</v>
      </c>
      <c r="S21" t="s">
        <v>221</v>
      </c>
    </row>
    <row r="22" spans="1:20" ht="203" customHeight="1" x14ac:dyDescent="0.35">
      <c r="A22" t="s">
        <v>222</v>
      </c>
      <c r="B22" t="s">
        <v>140</v>
      </c>
      <c r="C22" t="s">
        <v>223</v>
      </c>
      <c r="D22" t="s">
        <v>224</v>
      </c>
      <c r="E22" t="s">
        <v>225</v>
      </c>
      <c r="F22" t="s">
        <v>226</v>
      </c>
      <c r="G22" t="s">
        <v>26</v>
      </c>
      <c r="H22" t="s">
        <v>227</v>
      </c>
      <c r="I22" t="s">
        <v>228</v>
      </c>
      <c r="J22" s="3" t="s">
        <v>229</v>
      </c>
      <c r="K22" t="s">
        <v>230</v>
      </c>
      <c r="L22" t="s">
        <v>231</v>
      </c>
      <c r="N22" t="s">
        <v>232</v>
      </c>
      <c r="R22" t="s">
        <v>233</v>
      </c>
      <c r="S22" t="s">
        <v>234</v>
      </c>
      <c r="T22" t="s">
        <v>235</v>
      </c>
    </row>
    <row r="23" spans="1:20" ht="188.5" customHeight="1" x14ac:dyDescent="0.35">
      <c r="A23" t="s">
        <v>236</v>
      </c>
      <c r="B23" t="s">
        <v>140</v>
      </c>
      <c r="C23" t="s">
        <v>223</v>
      </c>
      <c r="D23" t="s">
        <v>237</v>
      </c>
      <c r="E23" t="s">
        <v>238</v>
      </c>
      <c r="F23" t="s">
        <v>239</v>
      </c>
      <c r="G23" t="s">
        <v>26</v>
      </c>
      <c r="H23" t="s">
        <v>227</v>
      </c>
      <c r="I23" t="s">
        <v>240</v>
      </c>
      <c r="J23" s="3" t="s">
        <v>241</v>
      </c>
      <c r="K23" t="s">
        <v>242</v>
      </c>
      <c r="L23" t="s">
        <v>243</v>
      </c>
      <c r="N23" t="s">
        <v>232</v>
      </c>
      <c r="R23" t="s">
        <v>244</v>
      </c>
      <c r="S23" t="s">
        <v>234</v>
      </c>
      <c r="T23" t="s">
        <v>245</v>
      </c>
    </row>
    <row r="24" spans="1:20" ht="188.5" customHeight="1" x14ac:dyDescent="0.35">
      <c r="A24" t="s">
        <v>246</v>
      </c>
      <c r="B24" t="s">
        <v>140</v>
      </c>
      <c r="C24" t="s">
        <v>223</v>
      </c>
      <c r="D24" t="s">
        <v>247</v>
      </c>
      <c r="E24" t="s">
        <v>248</v>
      </c>
      <c r="F24" t="s">
        <v>249</v>
      </c>
      <c r="G24" t="s">
        <v>26</v>
      </c>
      <c r="H24" t="s">
        <v>227</v>
      </c>
      <c r="I24" t="s">
        <v>250</v>
      </c>
      <c r="J24" s="3" t="s">
        <v>251</v>
      </c>
      <c r="K24" t="s">
        <v>252</v>
      </c>
      <c r="L24" t="s">
        <v>253</v>
      </c>
      <c r="N24" t="s">
        <v>232</v>
      </c>
      <c r="R24" t="s">
        <v>254</v>
      </c>
      <c r="S24" t="s">
        <v>234</v>
      </c>
      <c r="T24" t="s">
        <v>255</v>
      </c>
    </row>
    <row r="25" spans="1:20" ht="101.5" customHeight="1" x14ac:dyDescent="0.35">
      <c r="A25" t="s">
        <v>256</v>
      </c>
      <c r="B25" t="s">
        <v>140</v>
      </c>
      <c r="C25" t="s">
        <v>223</v>
      </c>
      <c r="D25" t="s">
        <v>257</v>
      </c>
      <c r="E25" t="s">
        <v>258</v>
      </c>
      <c r="F25" t="s">
        <v>259</v>
      </c>
      <c r="G25" t="s">
        <v>26</v>
      </c>
      <c r="H25" t="s">
        <v>227</v>
      </c>
      <c r="I25" t="s">
        <v>260</v>
      </c>
      <c r="J25" s="3" t="s">
        <v>261</v>
      </c>
      <c r="K25" t="s">
        <v>262</v>
      </c>
      <c r="L25" t="s">
        <v>263</v>
      </c>
      <c r="N25" t="s">
        <v>232</v>
      </c>
      <c r="R25" t="s">
        <v>264</v>
      </c>
      <c r="S25" t="s">
        <v>234</v>
      </c>
      <c r="T25" t="s">
        <v>265</v>
      </c>
    </row>
    <row r="26" spans="1:20" ht="130.5" customHeight="1" x14ac:dyDescent="0.35">
      <c r="A26" t="s">
        <v>266</v>
      </c>
      <c r="B26" t="s">
        <v>210</v>
      </c>
      <c r="C26" t="s">
        <v>267</v>
      </c>
      <c r="D26" t="s">
        <v>268</v>
      </c>
      <c r="E26" t="s">
        <v>269</v>
      </c>
      <c r="F26" t="s">
        <v>249</v>
      </c>
      <c r="G26" t="s">
        <v>26</v>
      </c>
      <c r="H26" t="s">
        <v>227</v>
      </c>
      <c r="I26" t="s">
        <v>270</v>
      </c>
      <c r="J26" s="3" t="s">
        <v>271</v>
      </c>
      <c r="K26" t="s">
        <v>272</v>
      </c>
      <c r="L26" t="s">
        <v>273</v>
      </c>
      <c r="N26" t="s">
        <v>232</v>
      </c>
      <c r="R26" t="s">
        <v>274</v>
      </c>
      <c r="S26" t="s">
        <v>234</v>
      </c>
      <c r="T26" t="s">
        <v>275</v>
      </c>
    </row>
    <row r="27" spans="1:20" ht="116" customHeight="1" x14ac:dyDescent="0.35">
      <c r="A27" t="s">
        <v>276</v>
      </c>
      <c r="B27" t="s">
        <v>210</v>
      </c>
      <c r="C27" t="s">
        <v>267</v>
      </c>
      <c r="D27" t="s">
        <v>268</v>
      </c>
      <c r="E27" t="s">
        <v>277</v>
      </c>
      <c r="F27" t="s">
        <v>249</v>
      </c>
      <c r="G27" t="s">
        <v>26</v>
      </c>
      <c r="H27" t="s">
        <v>227</v>
      </c>
      <c r="I27" t="s">
        <v>278</v>
      </c>
      <c r="J27" s="3" t="s">
        <v>279</v>
      </c>
      <c r="K27" t="s">
        <v>280</v>
      </c>
      <c r="L27" t="s">
        <v>281</v>
      </c>
      <c r="N27" t="s">
        <v>232</v>
      </c>
      <c r="R27" t="s">
        <v>274</v>
      </c>
      <c r="S27" t="s">
        <v>234</v>
      </c>
      <c r="T27" t="s">
        <v>282</v>
      </c>
    </row>
    <row r="28" spans="1:20" ht="116" customHeight="1" x14ac:dyDescent="0.35">
      <c r="A28" t="s">
        <v>283</v>
      </c>
      <c r="B28" t="s">
        <v>210</v>
      </c>
      <c r="C28" t="s">
        <v>267</v>
      </c>
      <c r="D28" t="s">
        <v>284</v>
      </c>
      <c r="E28" t="s">
        <v>285</v>
      </c>
      <c r="F28" t="s">
        <v>286</v>
      </c>
      <c r="G28" t="s">
        <v>55</v>
      </c>
      <c r="H28" t="s">
        <v>227</v>
      </c>
      <c r="I28" t="s">
        <v>287</v>
      </c>
      <c r="J28" s="3" t="s">
        <v>288</v>
      </c>
      <c r="K28" t="s">
        <v>289</v>
      </c>
      <c r="L28" s="3" t="s">
        <v>290</v>
      </c>
      <c r="N28" t="s">
        <v>232</v>
      </c>
      <c r="R28" t="s">
        <v>274</v>
      </c>
      <c r="S28" t="s">
        <v>234</v>
      </c>
      <c r="T28" t="s">
        <v>291</v>
      </c>
    </row>
    <row r="29" spans="1:20" ht="145" customHeight="1" x14ac:dyDescent="0.35">
      <c r="A29" t="s">
        <v>292</v>
      </c>
      <c r="B29" t="s">
        <v>210</v>
      </c>
      <c r="C29" t="s">
        <v>293</v>
      </c>
      <c r="D29" t="s">
        <v>294</v>
      </c>
      <c r="E29" t="s">
        <v>295</v>
      </c>
      <c r="F29" t="s">
        <v>286</v>
      </c>
      <c r="G29" t="s">
        <v>26</v>
      </c>
      <c r="H29" t="s">
        <v>227</v>
      </c>
      <c r="I29" t="s">
        <v>296</v>
      </c>
      <c r="J29" s="3" t="s">
        <v>297</v>
      </c>
      <c r="K29" t="s">
        <v>298</v>
      </c>
      <c r="L29" t="s">
        <v>299</v>
      </c>
      <c r="N29" t="s">
        <v>232</v>
      </c>
      <c r="R29" t="s">
        <v>274</v>
      </c>
      <c r="S29" t="s">
        <v>234</v>
      </c>
      <c r="T29" t="s">
        <v>300</v>
      </c>
    </row>
    <row r="30" spans="1:20" ht="72.5" customHeight="1" x14ac:dyDescent="0.35">
      <c r="A30" t="s">
        <v>301</v>
      </c>
      <c r="B30" t="s">
        <v>140</v>
      </c>
      <c r="C30" t="s">
        <v>141</v>
      </c>
      <c r="D30" t="s">
        <v>302</v>
      </c>
      <c r="E30" t="s">
        <v>303</v>
      </c>
      <c r="F30" t="s">
        <v>304</v>
      </c>
      <c r="G30" t="s">
        <v>26</v>
      </c>
      <c r="H30" t="s">
        <v>27</v>
      </c>
      <c r="I30" t="s">
        <v>305</v>
      </c>
      <c r="J30" s="3" t="s">
        <v>306</v>
      </c>
      <c r="K30" t="s">
        <v>307</v>
      </c>
      <c r="L30" t="s">
        <v>308</v>
      </c>
      <c r="M30" t="s">
        <v>309</v>
      </c>
      <c r="N30" t="s">
        <v>33</v>
      </c>
      <c r="O30" t="s">
        <v>310</v>
      </c>
      <c r="P30" t="s">
        <v>311</v>
      </c>
      <c r="R30" t="s">
        <v>312</v>
      </c>
      <c r="S30" t="s">
        <v>151</v>
      </c>
    </row>
    <row r="31" spans="1:20" ht="72.5" customHeight="1" x14ac:dyDescent="0.35">
      <c r="A31" t="s">
        <v>313</v>
      </c>
      <c r="B31" t="s">
        <v>140</v>
      </c>
      <c r="C31" t="s">
        <v>141</v>
      </c>
      <c r="D31" t="s">
        <v>314</v>
      </c>
      <c r="E31" t="s">
        <v>315</v>
      </c>
      <c r="F31" t="s">
        <v>173</v>
      </c>
      <c r="G31" t="s">
        <v>26</v>
      </c>
      <c r="H31" t="s">
        <v>27</v>
      </c>
      <c r="I31" t="s">
        <v>183</v>
      </c>
      <c r="J31" s="3" t="s">
        <v>316</v>
      </c>
      <c r="K31" t="s">
        <v>317</v>
      </c>
      <c r="L31" t="s">
        <v>318</v>
      </c>
      <c r="M31" t="s">
        <v>319</v>
      </c>
      <c r="N31" t="s">
        <v>33</v>
      </c>
      <c r="O31" t="s">
        <v>310</v>
      </c>
      <c r="P31" t="s">
        <v>320</v>
      </c>
      <c r="R31" t="s">
        <v>312</v>
      </c>
      <c r="S31" t="s">
        <v>151</v>
      </c>
    </row>
    <row r="32" spans="1:20" ht="116" customHeight="1" x14ac:dyDescent="0.35">
      <c r="A32" t="s">
        <v>321</v>
      </c>
      <c r="B32" t="s">
        <v>201</v>
      </c>
      <c r="C32" t="s">
        <v>190</v>
      </c>
      <c r="D32" t="s">
        <v>322</v>
      </c>
      <c r="E32" t="s">
        <v>323</v>
      </c>
      <c r="F32" t="s">
        <v>324</v>
      </c>
      <c r="G32" t="s">
        <v>26</v>
      </c>
      <c r="H32" t="s">
        <v>27</v>
      </c>
      <c r="I32" t="s">
        <v>325</v>
      </c>
      <c r="J32" s="3" t="s">
        <v>326</v>
      </c>
      <c r="K32" t="s">
        <v>327</v>
      </c>
      <c r="L32" t="s">
        <v>328</v>
      </c>
      <c r="M32" t="s">
        <v>329</v>
      </c>
      <c r="N32" t="s">
        <v>33</v>
      </c>
      <c r="O32" t="s">
        <v>310</v>
      </c>
      <c r="P32" t="s">
        <v>330</v>
      </c>
      <c r="R32" t="s">
        <v>312</v>
      </c>
      <c r="S32" t="s">
        <v>151</v>
      </c>
    </row>
    <row r="33" spans="1:19" ht="116" customHeight="1" x14ac:dyDescent="0.35">
      <c r="A33" t="s">
        <v>331</v>
      </c>
      <c r="B33" t="s">
        <v>140</v>
      </c>
      <c r="C33" t="s">
        <v>223</v>
      </c>
      <c r="D33" t="s">
        <v>332</v>
      </c>
      <c r="E33" t="s">
        <v>333</v>
      </c>
      <c r="F33" t="s">
        <v>334</v>
      </c>
      <c r="G33" t="s">
        <v>55</v>
      </c>
      <c r="H33" t="s">
        <v>227</v>
      </c>
      <c r="I33" t="s">
        <v>335</v>
      </c>
      <c r="J33" s="3" t="s">
        <v>336</v>
      </c>
      <c r="K33" t="s">
        <v>337</v>
      </c>
      <c r="L33" t="s">
        <v>338</v>
      </c>
      <c r="N33" t="s">
        <v>232</v>
      </c>
      <c r="R33" t="s">
        <v>339</v>
      </c>
      <c r="S33" t="s">
        <v>340</v>
      </c>
    </row>
    <row r="34" spans="1:19" ht="87" customHeight="1" x14ac:dyDescent="0.35">
      <c r="A34" t="s">
        <v>341</v>
      </c>
      <c r="B34" t="s">
        <v>140</v>
      </c>
      <c r="C34" t="s">
        <v>223</v>
      </c>
      <c r="D34" t="s">
        <v>342</v>
      </c>
      <c r="E34" t="s">
        <v>343</v>
      </c>
      <c r="F34" t="s">
        <v>286</v>
      </c>
      <c r="G34" t="s">
        <v>55</v>
      </c>
      <c r="H34" t="s">
        <v>227</v>
      </c>
      <c r="I34" t="s">
        <v>344</v>
      </c>
      <c r="J34" s="3" t="s">
        <v>345</v>
      </c>
      <c r="K34" t="s">
        <v>346</v>
      </c>
      <c r="L34" t="s">
        <v>347</v>
      </c>
      <c r="N34" t="s">
        <v>232</v>
      </c>
      <c r="R34" t="s">
        <v>348</v>
      </c>
      <c r="S34" t="s">
        <v>340</v>
      </c>
    </row>
    <row r="35" spans="1:19" ht="116" customHeight="1" x14ac:dyDescent="0.35">
      <c r="A35" t="s">
        <v>349</v>
      </c>
      <c r="B35" t="s">
        <v>210</v>
      </c>
      <c r="C35" t="s">
        <v>267</v>
      </c>
      <c r="D35" t="s">
        <v>350</v>
      </c>
      <c r="E35" t="s">
        <v>351</v>
      </c>
      <c r="F35" t="s">
        <v>286</v>
      </c>
      <c r="G35" t="s">
        <v>26</v>
      </c>
      <c r="H35" t="s">
        <v>227</v>
      </c>
      <c r="I35" t="s">
        <v>352</v>
      </c>
      <c r="J35" s="3" t="s">
        <v>353</v>
      </c>
      <c r="K35" t="s">
        <v>354</v>
      </c>
      <c r="L35" t="s">
        <v>355</v>
      </c>
      <c r="N35" t="s">
        <v>232</v>
      </c>
      <c r="R35" t="s">
        <v>356</v>
      </c>
      <c r="S35" t="s">
        <v>340</v>
      </c>
    </row>
    <row r="36" spans="1:19" ht="116" customHeight="1" x14ac:dyDescent="0.35">
      <c r="A36" t="s">
        <v>357</v>
      </c>
      <c r="B36" t="s">
        <v>210</v>
      </c>
      <c r="C36" t="s">
        <v>267</v>
      </c>
      <c r="D36" t="s">
        <v>358</v>
      </c>
      <c r="E36" t="s">
        <v>359</v>
      </c>
      <c r="F36" t="s">
        <v>286</v>
      </c>
      <c r="G36" t="s">
        <v>26</v>
      </c>
      <c r="H36" t="s">
        <v>227</v>
      </c>
      <c r="I36" t="s">
        <v>360</v>
      </c>
      <c r="J36" s="3" t="s">
        <v>361</v>
      </c>
      <c r="K36" t="s">
        <v>362</v>
      </c>
      <c r="L36" t="s">
        <v>363</v>
      </c>
      <c r="N36" t="s">
        <v>232</v>
      </c>
      <c r="R36" t="s">
        <v>364</v>
      </c>
      <c r="S36" t="s">
        <v>340</v>
      </c>
    </row>
    <row r="37" spans="1:19" ht="159.5" customHeight="1" x14ac:dyDescent="0.35">
      <c r="A37" t="s">
        <v>365</v>
      </c>
      <c r="B37" t="s">
        <v>210</v>
      </c>
      <c r="C37" t="s">
        <v>293</v>
      </c>
      <c r="D37" t="s">
        <v>366</v>
      </c>
      <c r="E37" t="s">
        <v>367</v>
      </c>
      <c r="F37" t="s">
        <v>286</v>
      </c>
      <c r="G37" t="s">
        <v>26</v>
      </c>
      <c r="H37" t="s">
        <v>227</v>
      </c>
      <c r="I37" t="s">
        <v>368</v>
      </c>
      <c r="J37" s="3" t="s">
        <v>369</v>
      </c>
      <c r="K37" t="s">
        <v>370</v>
      </c>
      <c r="L37" t="s">
        <v>371</v>
      </c>
      <c r="N37" t="s">
        <v>232</v>
      </c>
      <c r="R37" t="s">
        <v>372</v>
      </c>
      <c r="S37" t="s">
        <v>340</v>
      </c>
    </row>
    <row r="38" spans="1:19" x14ac:dyDescent="0.35">
      <c r="A38" t="s">
        <v>373</v>
      </c>
      <c r="B38" t="s">
        <v>21</v>
      </c>
      <c r="C38" t="s">
        <v>22</v>
      </c>
      <c r="D38" t="s">
        <v>374</v>
      </c>
      <c r="E38" t="s">
        <v>375</v>
      </c>
      <c r="F38" t="s">
        <v>249</v>
      </c>
      <c r="G38" t="s">
        <v>55</v>
      </c>
      <c r="H38" t="s">
        <v>27</v>
      </c>
      <c r="I38" t="s">
        <v>376</v>
      </c>
      <c r="J38" t="s">
        <v>377</v>
      </c>
      <c r="K38" t="s">
        <v>378</v>
      </c>
      <c r="L38" t="s">
        <v>379</v>
      </c>
      <c r="N38" t="s">
        <v>232</v>
      </c>
      <c r="R38" t="s">
        <v>380</v>
      </c>
      <c r="S38" t="s">
        <v>381</v>
      </c>
    </row>
    <row r="39" spans="1:19" x14ac:dyDescent="0.35">
      <c r="A39" t="s">
        <v>382</v>
      </c>
      <c r="B39" t="s">
        <v>21</v>
      </c>
      <c r="C39" t="s">
        <v>22</v>
      </c>
      <c r="D39" t="s">
        <v>383</v>
      </c>
      <c r="E39" t="s">
        <v>384</v>
      </c>
      <c r="F39" t="s">
        <v>249</v>
      </c>
      <c r="G39" t="s">
        <v>55</v>
      </c>
      <c r="H39" t="s">
        <v>27</v>
      </c>
      <c r="I39" t="s">
        <v>385</v>
      </c>
      <c r="J39" t="s">
        <v>386</v>
      </c>
      <c r="K39" t="s">
        <v>387</v>
      </c>
      <c r="L39" t="s">
        <v>388</v>
      </c>
      <c r="N39" t="s">
        <v>232</v>
      </c>
      <c r="R39" t="s">
        <v>389</v>
      </c>
      <c r="S39" t="s">
        <v>381</v>
      </c>
    </row>
    <row r="40" spans="1:19" x14ac:dyDescent="0.35">
      <c r="A40" t="s">
        <v>390</v>
      </c>
      <c r="B40" t="s">
        <v>21</v>
      </c>
      <c r="C40" t="s">
        <v>22</v>
      </c>
      <c r="D40" t="s">
        <v>391</v>
      </c>
      <c r="E40" t="s">
        <v>392</v>
      </c>
      <c r="F40" t="s">
        <v>286</v>
      </c>
      <c r="G40" t="s">
        <v>55</v>
      </c>
      <c r="H40" t="s">
        <v>27</v>
      </c>
      <c r="I40" t="s">
        <v>385</v>
      </c>
      <c r="J40" t="s">
        <v>393</v>
      </c>
      <c r="K40" t="s">
        <v>394</v>
      </c>
      <c r="L40" t="s">
        <v>395</v>
      </c>
      <c r="N40" t="s">
        <v>232</v>
      </c>
      <c r="R40" t="s">
        <v>396</v>
      </c>
      <c r="S40" t="s">
        <v>381</v>
      </c>
    </row>
    <row r="41" spans="1:19" x14ac:dyDescent="0.35">
      <c r="A41" t="s">
        <v>397</v>
      </c>
      <c r="B41" t="s">
        <v>21</v>
      </c>
      <c r="C41" t="s">
        <v>22</v>
      </c>
      <c r="D41" t="s">
        <v>398</v>
      </c>
      <c r="E41" t="s">
        <v>399</v>
      </c>
      <c r="F41" t="s">
        <v>249</v>
      </c>
      <c r="G41" t="s">
        <v>55</v>
      </c>
      <c r="H41" t="s">
        <v>27</v>
      </c>
      <c r="I41" t="s">
        <v>385</v>
      </c>
      <c r="J41" t="s">
        <v>400</v>
      </c>
      <c r="K41" t="s">
        <v>401</v>
      </c>
      <c r="L41" t="s">
        <v>402</v>
      </c>
      <c r="N41" t="s">
        <v>232</v>
      </c>
      <c r="R41" t="s">
        <v>403</v>
      </c>
      <c r="S41" t="s">
        <v>381</v>
      </c>
    </row>
    <row r="42" spans="1:19" x14ac:dyDescent="0.35">
      <c r="A42" t="s">
        <v>404</v>
      </c>
      <c r="B42" t="s">
        <v>21</v>
      </c>
      <c r="C42" t="s">
        <v>130</v>
      </c>
      <c r="D42" t="s">
        <v>405</v>
      </c>
      <c r="E42" t="s">
        <v>406</v>
      </c>
      <c r="F42" t="s">
        <v>334</v>
      </c>
      <c r="G42" t="s">
        <v>26</v>
      </c>
      <c r="H42" t="s">
        <v>27</v>
      </c>
      <c r="I42" t="s">
        <v>407</v>
      </c>
      <c r="J42" t="s">
        <v>408</v>
      </c>
      <c r="K42" t="s">
        <v>409</v>
      </c>
      <c r="L42" t="s">
        <v>410</v>
      </c>
      <c r="N42" t="s">
        <v>232</v>
      </c>
      <c r="R42" t="s">
        <v>411</v>
      </c>
      <c r="S42" t="s">
        <v>381</v>
      </c>
    </row>
    <row r="43" spans="1:19" x14ac:dyDescent="0.35">
      <c r="A43" t="s">
        <v>412</v>
      </c>
      <c r="B43" t="s">
        <v>21</v>
      </c>
      <c r="C43" t="s">
        <v>22</v>
      </c>
      <c r="D43" t="s">
        <v>413</v>
      </c>
      <c r="E43" t="s">
        <v>414</v>
      </c>
      <c r="F43" t="s">
        <v>415</v>
      </c>
      <c r="G43" t="s">
        <v>55</v>
      </c>
      <c r="H43" t="s">
        <v>27</v>
      </c>
      <c r="I43" t="s">
        <v>416</v>
      </c>
      <c r="J43" t="s">
        <v>417</v>
      </c>
      <c r="K43" t="s">
        <v>418</v>
      </c>
      <c r="L43" t="s">
        <v>419</v>
      </c>
      <c r="N43" t="s">
        <v>232</v>
      </c>
      <c r="R43" t="s">
        <v>420</v>
      </c>
      <c r="S43" t="s">
        <v>381</v>
      </c>
    </row>
    <row r="44" spans="1:19" x14ac:dyDescent="0.35">
      <c r="A44" t="s">
        <v>421</v>
      </c>
      <c r="B44" t="s">
        <v>21</v>
      </c>
      <c r="C44" t="s">
        <v>102</v>
      </c>
      <c r="D44" t="s">
        <v>422</v>
      </c>
      <c r="E44" t="s">
        <v>423</v>
      </c>
      <c r="F44" t="s">
        <v>249</v>
      </c>
      <c r="G44" t="s">
        <v>55</v>
      </c>
      <c r="H44" t="s">
        <v>27</v>
      </c>
      <c r="I44" t="s">
        <v>424</v>
      </c>
      <c r="J44" t="s">
        <v>425</v>
      </c>
      <c r="K44" t="s">
        <v>426</v>
      </c>
      <c r="L44" t="s">
        <v>427</v>
      </c>
      <c r="N44" t="s">
        <v>232</v>
      </c>
      <c r="R44" t="s">
        <v>428</v>
      </c>
      <c r="S44" t="s">
        <v>381</v>
      </c>
    </row>
    <row r="45" spans="1:19" x14ac:dyDescent="0.35">
      <c r="A45" t="s">
        <v>429</v>
      </c>
      <c r="B45" t="s">
        <v>21</v>
      </c>
      <c r="C45" t="s">
        <v>102</v>
      </c>
      <c r="D45" t="s">
        <v>430</v>
      </c>
      <c r="E45" t="s">
        <v>431</v>
      </c>
      <c r="F45" t="s">
        <v>432</v>
      </c>
      <c r="G45" t="s">
        <v>26</v>
      </c>
      <c r="H45" t="s">
        <v>227</v>
      </c>
      <c r="I45" t="s">
        <v>433</v>
      </c>
      <c r="J45" t="s">
        <v>434</v>
      </c>
      <c r="K45" t="s">
        <v>435</v>
      </c>
      <c r="L45" t="s">
        <v>436</v>
      </c>
      <c r="N45" t="s">
        <v>232</v>
      </c>
      <c r="R45" t="s">
        <v>437</v>
      </c>
      <c r="S45" t="s">
        <v>381</v>
      </c>
    </row>
    <row r="46" spans="1:19" x14ac:dyDescent="0.35">
      <c r="A46" t="s">
        <v>438</v>
      </c>
      <c r="B46" t="s">
        <v>140</v>
      </c>
      <c r="C46" t="s">
        <v>223</v>
      </c>
      <c r="D46" t="s">
        <v>439</v>
      </c>
      <c r="E46" t="s">
        <v>440</v>
      </c>
      <c r="F46" t="s">
        <v>226</v>
      </c>
      <c r="G46" t="s">
        <v>55</v>
      </c>
      <c r="H46" t="s">
        <v>227</v>
      </c>
      <c r="I46" t="s">
        <v>441</v>
      </c>
      <c r="J46" t="s">
        <v>442</v>
      </c>
      <c r="K46" t="s">
        <v>443</v>
      </c>
      <c r="L46" t="s">
        <v>444</v>
      </c>
      <c r="N46" t="s">
        <v>232</v>
      </c>
      <c r="R46" t="s">
        <v>445</v>
      </c>
      <c r="S46" t="s">
        <v>381</v>
      </c>
    </row>
    <row r="47" spans="1:19" x14ac:dyDescent="0.35">
      <c r="A47" t="s">
        <v>446</v>
      </c>
      <c r="B47" t="s">
        <v>140</v>
      </c>
      <c r="C47" t="s">
        <v>223</v>
      </c>
      <c r="D47" t="s">
        <v>447</v>
      </c>
      <c r="E47" t="s">
        <v>448</v>
      </c>
      <c r="F47" t="s">
        <v>249</v>
      </c>
      <c r="G47" t="s">
        <v>26</v>
      </c>
      <c r="H47" t="s">
        <v>227</v>
      </c>
      <c r="I47" t="s">
        <v>449</v>
      </c>
      <c r="J47" t="s">
        <v>450</v>
      </c>
      <c r="K47" t="s">
        <v>451</v>
      </c>
      <c r="L47" t="s">
        <v>452</v>
      </c>
      <c r="N47" t="s">
        <v>232</v>
      </c>
      <c r="R47" t="s">
        <v>453</v>
      </c>
      <c r="S47" t="s">
        <v>381</v>
      </c>
    </row>
    <row r="48" spans="1:19" x14ac:dyDescent="0.35">
      <c r="A48" t="s">
        <v>454</v>
      </c>
      <c r="B48" t="s">
        <v>140</v>
      </c>
      <c r="C48" t="s">
        <v>223</v>
      </c>
      <c r="D48" t="s">
        <v>455</v>
      </c>
      <c r="E48" t="s">
        <v>456</v>
      </c>
      <c r="F48" t="s">
        <v>286</v>
      </c>
      <c r="G48" t="s">
        <v>55</v>
      </c>
      <c r="H48" t="s">
        <v>27</v>
      </c>
      <c r="I48" t="s">
        <v>457</v>
      </c>
      <c r="J48" t="s">
        <v>458</v>
      </c>
      <c r="K48" t="s">
        <v>459</v>
      </c>
      <c r="L48" t="s">
        <v>460</v>
      </c>
      <c r="N48" t="s">
        <v>232</v>
      </c>
      <c r="R48" t="s">
        <v>461</v>
      </c>
      <c r="S48" t="s">
        <v>381</v>
      </c>
    </row>
    <row r="49" spans="1:19" x14ac:dyDescent="0.35">
      <c r="A49" t="s">
        <v>462</v>
      </c>
      <c r="B49" t="s">
        <v>140</v>
      </c>
      <c r="C49" t="s">
        <v>223</v>
      </c>
      <c r="D49" t="s">
        <v>463</v>
      </c>
      <c r="E49" t="s">
        <v>464</v>
      </c>
      <c r="F49" t="s">
        <v>286</v>
      </c>
      <c r="G49" t="s">
        <v>55</v>
      </c>
      <c r="H49" t="s">
        <v>27</v>
      </c>
      <c r="I49" t="s">
        <v>457</v>
      </c>
      <c r="J49" t="s">
        <v>465</v>
      </c>
      <c r="K49" t="s">
        <v>466</v>
      </c>
      <c r="L49" t="s">
        <v>467</v>
      </c>
      <c r="N49" t="s">
        <v>232</v>
      </c>
      <c r="R49" t="s">
        <v>468</v>
      </c>
      <c r="S49" t="s">
        <v>381</v>
      </c>
    </row>
    <row r="50" spans="1:19" x14ac:dyDescent="0.35">
      <c r="A50" t="s">
        <v>469</v>
      </c>
      <c r="B50" t="s">
        <v>140</v>
      </c>
      <c r="C50" t="s">
        <v>223</v>
      </c>
      <c r="D50" t="s">
        <v>470</v>
      </c>
      <c r="E50" t="s">
        <v>471</v>
      </c>
      <c r="F50" t="s">
        <v>249</v>
      </c>
      <c r="G50" t="s">
        <v>55</v>
      </c>
      <c r="H50" t="s">
        <v>227</v>
      </c>
      <c r="I50" t="s">
        <v>457</v>
      </c>
      <c r="J50" t="s">
        <v>472</v>
      </c>
      <c r="K50" t="s">
        <v>473</v>
      </c>
      <c r="L50" t="s">
        <v>474</v>
      </c>
      <c r="N50" t="s">
        <v>232</v>
      </c>
      <c r="R50" t="s">
        <v>475</v>
      </c>
      <c r="S50" t="s">
        <v>381</v>
      </c>
    </row>
    <row r="51" spans="1:19" x14ac:dyDescent="0.35">
      <c r="A51" t="s">
        <v>476</v>
      </c>
      <c r="B51" t="s">
        <v>140</v>
      </c>
      <c r="C51" t="s">
        <v>190</v>
      </c>
      <c r="D51" t="s">
        <v>477</v>
      </c>
      <c r="E51" t="s">
        <v>478</v>
      </c>
      <c r="F51" t="s">
        <v>479</v>
      </c>
      <c r="G51" t="s">
        <v>26</v>
      </c>
      <c r="H51" t="s">
        <v>27</v>
      </c>
      <c r="I51" t="s">
        <v>480</v>
      </c>
      <c r="J51" t="s">
        <v>481</v>
      </c>
      <c r="K51" t="s">
        <v>482</v>
      </c>
      <c r="L51" t="s">
        <v>483</v>
      </c>
      <c r="N51" t="s">
        <v>232</v>
      </c>
      <c r="R51" t="s">
        <v>484</v>
      </c>
      <c r="S51" t="s">
        <v>381</v>
      </c>
    </row>
    <row r="52" spans="1:19" x14ac:dyDescent="0.35">
      <c r="A52" t="s">
        <v>485</v>
      </c>
      <c r="B52" t="s">
        <v>140</v>
      </c>
      <c r="C52" t="s">
        <v>223</v>
      </c>
      <c r="D52" t="s">
        <v>486</v>
      </c>
      <c r="E52" t="s">
        <v>487</v>
      </c>
      <c r="F52" t="s">
        <v>249</v>
      </c>
      <c r="G52" t="s">
        <v>26</v>
      </c>
      <c r="H52" t="s">
        <v>227</v>
      </c>
      <c r="I52" t="s">
        <v>488</v>
      </c>
      <c r="J52" t="s">
        <v>489</v>
      </c>
      <c r="K52" t="s">
        <v>490</v>
      </c>
      <c r="L52" t="s">
        <v>491</v>
      </c>
      <c r="N52" t="s">
        <v>232</v>
      </c>
      <c r="R52" t="s">
        <v>492</v>
      </c>
      <c r="S52" t="s">
        <v>381</v>
      </c>
    </row>
    <row r="53" spans="1:19" x14ac:dyDescent="0.35">
      <c r="A53" t="s">
        <v>493</v>
      </c>
      <c r="B53" t="s">
        <v>140</v>
      </c>
      <c r="C53" t="s">
        <v>223</v>
      </c>
      <c r="D53" t="s">
        <v>494</v>
      </c>
      <c r="E53" t="s">
        <v>495</v>
      </c>
      <c r="F53" t="s">
        <v>479</v>
      </c>
      <c r="G53" t="s">
        <v>55</v>
      </c>
      <c r="H53" t="s">
        <v>227</v>
      </c>
      <c r="I53" t="s">
        <v>496</v>
      </c>
      <c r="J53" t="s">
        <v>497</v>
      </c>
      <c r="K53" t="s">
        <v>498</v>
      </c>
      <c r="L53" t="s">
        <v>499</v>
      </c>
      <c r="N53" t="s">
        <v>232</v>
      </c>
      <c r="R53" t="s">
        <v>500</v>
      </c>
      <c r="S53" t="s">
        <v>381</v>
      </c>
    </row>
    <row r="54" spans="1:19" x14ac:dyDescent="0.35">
      <c r="A54" t="s">
        <v>501</v>
      </c>
      <c r="B54" t="s">
        <v>140</v>
      </c>
      <c r="C54" t="s">
        <v>223</v>
      </c>
      <c r="D54" t="s">
        <v>502</v>
      </c>
      <c r="E54" t="s">
        <v>503</v>
      </c>
      <c r="F54" t="s">
        <v>504</v>
      </c>
      <c r="G54" t="s">
        <v>55</v>
      </c>
      <c r="H54" t="s">
        <v>227</v>
      </c>
      <c r="I54" t="s">
        <v>505</v>
      </c>
      <c r="J54" t="s">
        <v>506</v>
      </c>
      <c r="K54" t="s">
        <v>507</v>
      </c>
      <c r="L54" t="s">
        <v>508</v>
      </c>
      <c r="N54" t="s">
        <v>232</v>
      </c>
      <c r="R54" t="s">
        <v>509</v>
      </c>
      <c r="S54" t="s">
        <v>381</v>
      </c>
    </row>
    <row r="55" spans="1:19" x14ac:dyDescent="0.35">
      <c r="A55" t="s">
        <v>510</v>
      </c>
      <c r="B55" t="s">
        <v>140</v>
      </c>
      <c r="C55" t="s">
        <v>223</v>
      </c>
      <c r="D55" t="s">
        <v>511</v>
      </c>
      <c r="E55" t="s">
        <v>512</v>
      </c>
      <c r="F55" t="s">
        <v>513</v>
      </c>
      <c r="G55" t="s">
        <v>514</v>
      </c>
      <c r="H55" t="s">
        <v>227</v>
      </c>
      <c r="I55" t="s">
        <v>515</v>
      </c>
      <c r="J55" t="s">
        <v>516</v>
      </c>
      <c r="K55" t="s">
        <v>517</v>
      </c>
      <c r="L55" t="s">
        <v>518</v>
      </c>
      <c r="N55" t="s">
        <v>232</v>
      </c>
      <c r="R55" t="s">
        <v>519</v>
      </c>
      <c r="S55" t="s">
        <v>381</v>
      </c>
    </row>
    <row r="56" spans="1:19" x14ac:dyDescent="0.35">
      <c r="A56" t="s">
        <v>520</v>
      </c>
      <c r="B56" t="s">
        <v>210</v>
      </c>
      <c r="C56" t="s">
        <v>267</v>
      </c>
      <c r="D56" t="s">
        <v>521</v>
      </c>
      <c r="E56" t="s">
        <v>522</v>
      </c>
      <c r="F56" t="s">
        <v>415</v>
      </c>
      <c r="G56" t="s">
        <v>55</v>
      </c>
      <c r="H56" t="s">
        <v>227</v>
      </c>
      <c r="I56" t="s">
        <v>523</v>
      </c>
      <c r="J56" t="s">
        <v>524</v>
      </c>
      <c r="K56" t="s">
        <v>525</v>
      </c>
      <c r="L56" t="s">
        <v>526</v>
      </c>
      <c r="N56" t="s">
        <v>232</v>
      </c>
      <c r="R56" t="s">
        <v>527</v>
      </c>
      <c r="S56" t="s">
        <v>381</v>
      </c>
    </row>
    <row r="57" spans="1:19" x14ac:dyDescent="0.35">
      <c r="A57" t="s">
        <v>528</v>
      </c>
      <c r="B57" t="s">
        <v>210</v>
      </c>
      <c r="C57" t="s">
        <v>267</v>
      </c>
      <c r="D57" t="s">
        <v>529</v>
      </c>
      <c r="E57" t="s">
        <v>530</v>
      </c>
      <c r="F57" t="s">
        <v>531</v>
      </c>
      <c r="G57" t="s">
        <v>55</v>
      </c>
      <c r="H57" t="s">
        <v>227</v>
      </c>
      <c r="I57" t="s">
        <v>532</v>
      </c>
      <c r="J57" t="s">
        <v>533</v>
      </c>
      <c r="K57" t="s">
        <v>534</v>
      </c>
      <c r="L57" t="s">
        <v>535</v>
      </c>
      <c r="N57" t="s">
        <v>232</v>
      </c>
      <c r="R57" t="s">
        <v>536</v>
      </c>
      <c r="S57" t="s">
        <v>381</v>
      </c>
    </row>
    <row r="58" spans="1:19" x14ac:dyDescent="0.35">
      <c r="A58" t="s">
        <v>537</v>
      </c>
      <c r="B58" t="s">
        <v>210</v>
      </c>
      <c r="C58" t="s">
        <v>267</v>
      </c>
      <c r="D58" t="s">
        <v>538</v>
      </c>
      <c r="E58" t="s">
        <v>539</v>
      </c>
      <c r="F58" t="s">
        <v>286</v>
      </c>
      <c r="G58" t="s">
        <v>55</v>
      </c>
      <c r="H58" t="s">
        <v>27</v>
      </c>
      <c r="I58" t="s">
        <v>532</v>
      </c>
      <c r="J58" t="s">
        <v>540</v>
      </c>
      <c r="K58" t="s">
        <v>541</v>
      </c>
      <c r="L58" t="s">
        <v>542</v>
      </c>
      <c r="N58" t="s">
        <v>232</v>
      </c>
      <c r="R58" t="s">
        <v>543</v>
      </c>
      <c r="S58" t="s">
        <v>381</v>
      </c>
    </row>
    <row r="59" spans="1:19" x14ac:dyDescent="0.35">
      <c r="A59" t="s">
        <v>544</v>
      </c>
      <c r="B59" t="s">
        <v>210</v>
      </c>
      <c r="C59" t="s">
        <v>293</v>
      </c>
      <c r="D59" t="s">
        <v>545</v>
      </c>
      <c r="E59" t="s">
        <v>546</v>
      </c>
      <c r="F59" t="s">
        <v>249</v>
      </c>
      <c r="G59" t="s">
        <v>26</v>
      </c>
      <c r="H59" t="s">
        <v>227</v>
      </c>
      <c r="I59" t="s">
        <v>547</v>
      </c>
      <c r="J59" t="s">
        <v>548</v>
      </c>
      <c r="K59" t="s">
        <v>549</v>
      </c>
      <c r="L59" t="s">
        <v>550</v>
      </c>
      <c r="N59" t="s">
        <v>232</v>
      </c>
      <c r="R59" t="s">
        <v>551</v>
      </c>
      <c r="S59" t="s">
        <v>381</v>
      </c>
    </row>
    <row r="60" spans="1:19" x14ac:dyDescent="0.35">
      <c r="A60" t="s">
        <v>552</v>
      </c>
      <c r="B60" t="s">
        <v>210</v>
      </c>
      <c r="C60" t="s">
        <v>267</v>
      </c>
      <c r="D60" t="s">
        <v>553</v>
      </c>
      <c r="E60" t="s">
        <v>554</v>
      </c>
      <c r="F60" t="s">
        <v>504</v>
      </c>
      <c r="G60" t="s">
        <v>55</v>
      </c>
      <c r="H60" t="s">
        <v>227</v>
      </c>
      <c r="I60" t="s">
        <v>555</v>
      </c>
      <c r="J60" t="s">
        <v>556</v>
      </c>
      <c r="K60" t="s">
        <v>557</v>
      </c>
      <c r="L60" t="s">
        <v>558</v>
      </c>
      <c r="N60" t="s">
        <v>232</v>
      </c>
      <c r="R60" t="s">
        <v>559</v>
      </c>
      <c r="S60" t="s">
        <v>381</v>
      </c>
    </row>
    <row r="61" spans="1:19" x14ac:dyDescent="0.35">
      <c r="A61" t="s">
        <v>560</v>
      </c>
      <c r="B61" t="s">
        <v>210</v>
      </c>
      <c r="C61" t="s">
        <v>267</v>
      </c>
      <c r="D61" t="s">
        <v>561</v>
      </c>
      <c r="E61" t="s">
        <v>562</v>
      </c>
      <c r="F61" t="s">
        <v>563</v>
      </c>
      <c r="G61" t="s">
        <v>55</v>
      </c>
      <c r="H61" t="s">
        <v>227</v>
      </c>
      <c r="I61" t="s">
        <v>564</v>
      </c>
      <c r="J61" t="s">
        <v>565</v>
      </c>
      <c r="K61" t="s">
        <v>566</v>
      </c>
      <c r="L61" t="s">
        <v>567</v>
      </c>
      <c r="N61" t="s">
        <v>232</v>
      </c>
      <c r="R61" t="s">
        <v>568</v>
      </c>
      <c r="S61" t="s">
        <v>381</v>
      </c>
    </row>
    <row r="62" spans="1:19" x14ac:dyDescent="0.35">
      <c r="A62" t="s">
        <v>569</v>
      </c>
      <c r="B62" t="s">
        <v>210</v>
      </c>
      <c r="C62" t="s">
        <v>293</v>
      </c>
      <c r="D62" t="s">
        <v>570</v>
      </c>
      <c r="E62" t="s">
        <v>571</v>
      </c>
      <c r="F62" t="s">
        <v>513</v>
      </c>
      <c r="G62" t="s">
        <v>514</v>
      </c>
      <c r="H62" t="s">
        <v>27</v>
      </c>
      <c r="I62" t="s">
        <v>572</v>
      </c>
      <c r="J62" t="s">
        <v>573</v>
      </c>
      <c r="K62" t="s">
        <v>574</v>
      </c>
      <c r="L62" t="s">
        <v>575</v>
      </c>
      <c r="N62" t="s">
        <v>232</v>
      </c>
      <c r="R62" t="s">
        <v>576</v>
      </c>
      <c r="S62" t="s">
        <v>381</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2"/>
  <sheetViews>
    <sheetView zoomScaleNormal="100" workbookViewId="0"/>
  </sheetViews>
  <sheetFormatPr defaultColWidth="8.6328125" defaultRowHeight="14.5" x14ac:dyDescent="0.35"/>
  <sheetData>
    <row r="1" spans="1:8" x14ac:dyDescent="0.35">
      <c r="A1" t="s">
        <v>577</v>
      </c>
      <c r="B1" t="s">
        <v>578</v>
      </c>
      <c r="C1" t="s">
        <v>579</v>
      </c>
      <c r="D1" t="s">
        <v>580</v>
      </c>
      <c r="E1" t="s">
        <v>581</v>
      </c>
    </row>
    <row r="2" spans="1:8" x14ac:dyDescent="0.35">
      <c r="A2" t="s">
        <v>20</v>
      </c>
      <c r="B2" t="s">
        <v>30</v>
      </c>
      <c r="C2" t="s">
        <v>582</v>
      </c>
      <c r="D2" t="s">
        <v>583</v>
      </c>
      <c r="E2" t="s">
        <v>584</v>
      </c>
    </row>
    <row r="3" spans="1:8" x14ac:dyDescent="0.35">
      <c r="A3" t="s">
        <v>38</v>
      </c>
      <c r="B3" t="s">
        <v>41</v>
      </c>
      <c r="C3" t="s">
        <v>582</v>
      </c>
      <c r="D3" t="s">
        <v>583</v>
      </c>
      <c r="E3" t="s">
        <v>585</v>
      </c>
    </row>
    <row r="5" spans="1:8" x14ac:dyDescent="0.35">
      <c r="A5" t="s">
        <v>586</v>
      </c>
    </row>
    <row r="6" spans="1:8" x14ac:dyDescent="0.35">
      <c r="A6" t="s">
        <v>587</v>
      </c>
      <c r="B6" t="s">
        <v>588</v>
      </c>
      <c r="C6" t="s">
        <v>589</v>
      </c>
      <c r="D6" t="s">
        <v>590</v>
      </c>
      <c r="E6" t="s">
        <v>591</v>
      </c>
      <c r="F6" t="s">
        <v>592</v>
      </c>
      <c r="G6" t="s">
        <v>593</v>
      </c>
      <c r="H6" t="s">
        <v>581</v>
      </c>
    </row>
    <row r="7" spans="1:8" x14ac:dyDescent="0.35">
      <c r="A7" t="s">
        <v>594</v>
      </c>
      <c r="B7" t="s">
        <v>595</v>
      </c>
      <c r="C7">
        <v>100000</v>
      </c>
      <c r="D7" t="s">
        <v>596</v>
      </c>
      <c r="E7">
        <v>110000</v>
      </c>
      <c r="F7">
        <v>50</v>
      </c>
      <c r="G7" t="s">
        <v>597</v>
      </c>
      <c r="H7" t="s">
        <v>598</v>
      </c>
    </row>
    <row r="8" spans="1:8" x14ac:dyDescent="0.35">
      <c r="A8" t="s">
        <v>599</v>
      </c>
      <c r="B8" t="s">
        <v>600</v>
      </c>
      <c r="C8">
        <v>110000</v>
      </c>
      <c r="D8" t="s">
        <v>596</v>
      </c>
      <c r="E8">
        <v>121000</v>
      </c>
      <c r="F8">
        <v>30</v>
      </c>
      <c r="G8" t="s">
        <v>597</v>
      </c>
      <c r="H8" t="s">
        <v>598</v>
      </c>
    </row>
    <row r="9" spans="1:8" x14ac:dyDescent="0.35">
      <c r="A9" t="s">
        <v>601</v>
      </c>
      <c r="B9" t="s">
        <v>602</v>
      </c>
      <c r="C9">
        <v>111000</v>
      </c>
      <c r="D9" t="s">
        <v>596</v>
      </c>
      <c r="E9">
        <v>122100</v>
      </c>
      <c r="F9">
        <v>40</v>
      </c>
      <c r="G9" t="s">
        <v>597</v>
      </c>
      <c r="H9" t="s">
        <v>603</v>
      </c>
    </row>
    <row r="10" spans="1:8" x14ac:dyDescent="0.35">
      <c r="A10" t="s">
        <v>604</v>
      </c>
      <c r="B10" t="s">
        <v>605</v>
      </c>
      <c r="C10">
        <v>111100</v>
      </c>
      <c r="D10" t="s">
        <v>596</v>
      </c>
      <c r="E10">
        <v>122210</v>
      </c>
      <c r="F10">
        <v>89</v>
      </c>
      <c r="G10" t="s">
        <v>597</v>
      </c>
      <c r="H10" t="s">
        <v>598</v>
      </c>
    </row>
    <row r="12" spans="1:8" x14ac:dyDescent="0.35">
      <c r="A12" t="s">
        <v>606</v>
      </c>
    </row>
    <row r="13" spans="1:8" x14ac:dyDescent="0.35">
      <c r="A13" t="s">
        <v>607</v>
      </c>
      <c r="B13" t="s">
        <v>578</v>
      </c>
      <c r="C13" t="s">
        <v>608</v>
      </c>
      <c r="D13" t="s">
        <v>579</v>
      </c>
      <c r="E13" t="s">
        <v>609</v>
      </c>
      <c r="F13" t="s">
        <v>581</v>
      </c>
    </row>
    <row r="14" spans="1:8" x14ac:dyDescent="0.35">
      <c r="A14" t="s">
        <v>610</v>
      </c>
      <c r="B14" t="s">
        <v>611</v>
      </c>
      <c r="C14" t="s">
        <v>612</v>
      </c>
      <c r="D14" t="s">
        <v>613</v>
      </c>
      <c r="E14" t="s">
        <v>614</v>
      </c>
      <c r="F14" t="s">
        <v>615</v>
      </c>
    </row>
    <row r="15" spans="1:8" x14ac:dyDescent="0.35">
      <c r="A15" t="s">
        <v>616</v>
      </c>
      <c r="B15" t="s">
        <v>617</v>
      </c>
      <c r="C15" t="s">
        <v>618</v>
      </c>
      <c r="D15" t="s">
        <v>613</v>
      </c>
      <c r="E15" t="s">
        <v>614</v>
      </c>
      <c r="F15" t="s">
        <v>619</v>
      </c>
    </row>
    <row r="17" spans="1:11" x14ac:dyDescent="0.35">
      <c r="A17" t="s">
        <v>620</v>
      </c>
    </row>
    <row r="18" spans="1:11" x14ac:dyDescent="0.35">
      <c r="A18" t="s">
        <v>621</v>
      </c>
      <c r="B18" t="s">
        <v>622</v>
      </c>
      <c r="C18" t="s">
        <v>623</v>
      </c>
      <c r="D18" t="s">
        <v>624</v>
      </c>
      <c r="E18" t="s">
        <v>589</v>
      </c>
      <c r="F18" t="s">
        <v>625</v>
      </c>
      <c r="G18" t="s">
        <v>626</v>
      </c>
      <c r="H18" t="s">
        <v>627</v>
      </c>
      <c r="I18" t="s">
        <v>609</v>
      </c>
      <c r="J18" t="s">
        <v>628</v>
      </c>
      <c r="K18" t="s">
        <v>17</v>
      </c>
    </row>
    <row r="19" spans="1:11" x14ac:dyDescent="0.35">
      <c r="A19" t="s">
        <v>629</v>
      </c>
      <c r="B19" t="s">
        <v>611</v>
      </c>
      <c r="C19" t="s">
        <v>601</v>
      </c>
      <c r="D19">
        <v>5</v>
      </c>
      <c r="E19">
        <v>111000</v>
      </c>
      <c r="F19">
        <v>555000</v>
      </c>
      <c r="G19">
        <v>55500</v>
      </c>
      <c r="H19">
        <v>610500</v>
      </c>
      <c r="I19" t="s">
        <v>630</v>
      </c>
      <c r="J19">
        <v>35</v>
      </c>
      <c r="K19" t="s">
        <v>631</v>
      </c>
    </row>
    <row r="21" spans="1:11" x14ac:dyDescent="0.35">
      <c r="A21" t="s">
        <v>632</v>
      </c>
    </row>
    <row r="22" spans="1:11" x14ac:dyDescent="0.35">
      <c r="A22" t="s">
        <v>577</v>
      </c>
      <c r="B22" t="s">
        <v>633</v>
      </c>
      <c r="C22" t="s">
        <v>634</v>
      </c>
      <c r="D22" t="s">
        <v>635</v>
      </c>
      <c r="E22" t="s">
        <v>636</v>
      </c>
      <c r="F22" t="s">
        <v>637</v>
      </c>
    </row>
    <row r="23" spans="1:11" x14ac:dyDescent="0.35">
      <c r="A23" t="s">
        <v>222</v>
      </c>
      <c r="B23" t="s">
        <v>638</v>
      </c>
      <c r="C23" t="s">
        <v>639</v>
      </c>
      <c r="D23" t="s">
        <v>640</v>
      </c>
      <c r="E23" t="s">
        <v>641</v>
      </c>
      <c r="F23" t="s">
        <v>642</v>
      </c>
    </row>
    <row r="24" spans="1:11" x14ac:dyDescent="0.35">
      <c r="A24" t="s">
        <v>236</v>
      </c>
      <c r="B24" t="s">
        <v>643</v>
      </c>
      <c r="C24" t="s">
        <v>644</v>
      </c>
      <c r="D24" t="s">
        <v>645</v>
      </c>
      <c r="E24" t="s">
        <v>646</v>
      </c>
      <c r="F24" t="s">
        <v>647</v>
      </c>
    </row>
    <row r="25" spans="1:11" x14ac:dyDescent="0.35">
      <c r="A25" t="s">
        <v>246</v>
      </c>
      <c r="B25" t="s">
        <v>648</v>
      </c>
      <c r="C25" t="s">
        <v>649</v>
      </c>
      <c r="D25" t="s">
        <v>650</v>
      </c>
      <c r="E25" t="s">
        <v>651</v>
      </c>
      <c r="F25" t="s">
        <v>652</v>
      </c>
    </row>
    <row r="26" spans="1:11" x14ac:dyDescent="0.35">
      <c r="A26" t="s">
        <v>256</v>
      </c>
      <c r="B26" t="s">
        <v>653</v>
      </c>
      <c r="C26" t="s">
        <v>649</v>
      </c>
      <c r="D26" t="s">
        <v>654</v>
      </c>
      <c r="E26" t="s">
        <v>655</v>
      </c>
      <c r="F26" t="s">
        <v>656</v>
      </c>
    </row>
    <row r="28" spans="1:11" x14ac:dyDescent="0.35">
      <c r="A28" t="s">
        <v>657</v>
      </c>
    </row>
    <row r="29" spans="1:11" x14ac:dyDescent="0.35">
      <c r="A29" t="s">
        <v>577</v>
      </c>
      <c r="B29" t="s">
        <v>587</v>
      </c>
      <c r="C29" t="s">
        <v>593</v>
      </c>
      <c r="D29" t="s">
        <v>592</v>
      </c>
      <c r="E29" t="s">
        <v>658</v>
      </c>
      <c r="F29" t="s">
        <v>659</v>
      </c>
    </row>
    <row r="30" spans="1:11" x14ac:dyDescent="0.35">
      <c r="A30" t="s">
        <v>266</v>
      </c>
      <c r="B30" t="s">
        <v>599</v>
      </c>
      <c r="C30" t="s">
        <v>597</v>
      </c>
      <c r="D30">
        <v>30</v>
      </c>
      <c r="E30" t="s">
        <v>660</v>
      </c>
      <c r="F30" t="s">
        <v>661</v>
      </c>
    </row>
    <row r="31" spans="1:11" x14ac:dyDescent="0.35">
      <c r="A31" t="s">
        <v>276</v>
      </c>
      <c r="B31" t="s">
        <v>599</v>
      </c>
      <c r="C31" t="s">
        <v>597</v>
      </c>
      <c r="D31">
        <v>40</v>
      </c>
      <c r="E31" t="s">
        <v>662</v>
      </c>
      <c r="F31" t="s">
        <v>663</v>
      </c>
    </row>
    <row r="32" spans="1:11" x14ac:dyDescent="0.35">
      <c r="A32" t="s">
        <v>283</v>
      </c>
      <c r="B32" t="s">
        <v>604</v>
      </c>
      <c r="C32" t="s">
        <v>597</v>
      </c>
      <c r="D32">
        <v>89</v>
      </c>
      <c r="E32" t="s">
        <v>664</v>
      </c>
      <c r="F32" t="s">
        <v>665</v>
      </c>
    </row>
    <row r="33" spans="1:6" x14ac:dyDescent="0.35">
      <c r="A33" t="s">
        <v>292</v>
      </c>
      <c r="B33" t="s">
        <v>601</v>
      </c>
      <c r="C33" t="s">
        <v>597</v>
      </c>
      <c r="D33">
        <v>40</v>
      </c>
      <c r="E33" t="s">
        <v>666</v>
      </c>
      <c r="F33" t="s">
        <v>667</v>
      </c>
    </row>
    <row r="35" spans="1:6" x14ac:dyDescent="0.35">
      <c r="A35" t="s">
        <v>668</v>
      </c>
    </row>
    <row r="36" spans="1:6" x14ac:dyDescent="0.35">
      <c r="A36" t="s">
        <v>577</v>
      </c>
      <c r="B36" t="s">
        <v>633</v>
      </c>
      <c r="C36" t="s">
        <v>634</v>
      </c>
      <c r="D36" t="s">
        <v>635</v>
      </c>
      <c r="E36" t="s">
        <v>636</v>
      </c>
      <c r="F36" t="s">
        <v>637</v>
      </c>
    </row>
    <row r="37" spans="1:6" x14ac:dyDescent="0.35">
      <c r="A37" t="s">
        <v>331</v>
      </c>
      <c r="B37" t="s">
        <v>669</v>
      </c>
      <c r="C37" t="s">
        <v>670</v>
      </c>
      <c r="D37" t="s">
        <v>671</v>
      </c>
      <c r="E37" t="s">
        <v>672</v>
      </c>
      <c r="F37" t="s">
        <v>673</v>
      </c>
    </row>
    <row r="38" spans="1:6" x14ac:dyDescent="0.35">
      <c r="A38" t="s">
        <v>341</v>
      </c>
      <c r="B38" t="s">
        <v>674</v>
      </c>
      <c r="C38" t="s">
        <v>649</v>
      </c>
      <c r="D38" t="s">
        <v>675</v>
      </c>
      <c r="E38" t="s">
        <v>676</v>
      </c>
      <c r="F38" t="s">
        <v>677</v>
      </c>
    </row>
    <row r="40" spans="1:6" x14ac:dyDescent="0.35">
      <c r="A40" t="s">
        <v>678</v>
      </c>
    </row>
    <row r="41" spans="1:6" x14ac:dyDescent="0.35">
      <c r="A41" t="s">
        <v>577</v>
      </c>
      <c r="B41" t="s">
        <v>587</v>
      </c>
      <c r="C41" t="s">
        <v>593</v>
      </c>
      <c r="D41" t="s">
        <v>592</v>
      </c>
      <c r="E41" t="s">
        <v>658</v>
      </c>
      <c r="F41" t="s">
        <v>659</v>
      </c>
    </row>
    <row r="42" spans="1:6" x14ac:dyDescent="0.35">
      <c r="A42" t="s">
        <v>349</v>
      </c>
      <c r="B42" t="s">
        <v>599</v>
      </c>
      <c r="C42" t="s">
        <v>597</v>
      </c>
      <c r="D42">
        <v>40</v>
      </c>
      <c r="E42" t="s">
        <v>679</v>
      </c>
      <c r="F42" t="s">
        <v>680</v>
      </c>
    </row>
    <row r="43" spans="1:6" x14ac:dyDescent="0.35">
      <c r="A43" t="s">
        <v>357</v>
      </c>
      <c r="B43" t="s">
        <v>604</v>
      </c>
      <c r="C43" t="s">
        <v>597</v>
      </c>
      <c r="D43">
        <v>89</v>
      </c>
      <c r="E43" t="s">
        <v>681</v>
      </c>
      <c r="F43" t="s">
        <v>682</v>
      </c>
    </row>
    <row r="44" spans="1:6" x14ac:dyDescent="0.35">
      <c r="A44" t="s">
        <v>365</v>
      </c>
      <c r="B44" t="s">
        <v>601</v>
      </c>
      <c r="C44" t="s">
        <v>597</v>
      </c>
      <c r="D44">
        <v>40</v>
      </c>
      <c r="E44" t="s">
        <v>683</v>
      </c>
      <c r="F44" t="s">
        <v>684</v>
      </c>
    </row>
    <row r="46" spans="1:6" x14ac:dyDescent="0.35">
      <c r="A46" t="s">
        <v>685</v>
      </c>
    </row>
    <row r="47" spans="1:6" x14ac:dyDescent="0.35">
      <c r="A47" t="s">
        <v>577</v>
      </c>
      <c r="B47" t="s">
        <v>1</v>
      </c>
      <c r="C47" t="s">
        <v>686</v>
      </c>
      <c r="D47" t="s">
        <v>687</v>
      </c>
      <c r="E47" t="s">
        <v>688</v>
      </c>
      <c r="F47" t="s">
        <v>581</v>
      </c>
    </row>
    <row r="48" spans="1:6" x14ac:dyDescent="0.35">
      <c r="A48" t="s">
        <v>373</v>
      </c>
      <c r="B48" t="s">
        <v>21</v>
      </c>
      <c r="C48" t="s">
        <v>374</v>
      </c>
      <c r="D48" t="s">
        <v>378</v>
      </c>
      <c r="E48" t="s">
        <v>689</v>
      </c>
      <c r="F48" t="s">
        <v>380</v>
      </c>
    </row>
    <row r="49" spans="1:6" x14ac:dyDescent="0.35">
      <c r="A49" t="s">
        <v>382</v>
      </c>
      <c r="B49" t="s">
        <v>21</v>
      </c>
      <c r="C49" t="s">
        <v>383</v>
      </c>
      <c r="D49" t="s">
        <v>387</v>
      </c>
      <c r="E49" t="s">
        <v>690</v>
      </c>
      <c r="F49" t="s">
        <v>389</v>
      </c>
    </row>
    <row r="50" spans="1:6" x14ac:dyDescent="0.35">
      <c r="A50" t="s">
        <v>390</v>
      </c>
      <c r="B50" t="s">
        <v>21</v>
      </c>
      <c r="C50" t="s">
        <v>391</v>
      </c>
      <c r="D50" t="s">
        <v>394</v>
      </c>
      <c r="E50" t="s">
        <v>691</v>
      </c>
      <c r="F50" t="s">
        <v>396</v>
      </c>
    </row>
    <row r="51" spans="1:6" x14ac:dyDescent="0.35">
      <c r="A51" t="s">
        <v>397</v>
      </c>
      <c r="B51" t="s">
        <v>21</v>
      </c>
      <c r="C51" t="s">
        <v>398</v>
      </c>
      <c r="D51" t="s">
        <v>401</v>
      </c>
      <c r="E51" t="s">
        <v>692</v>
      </c>
      <c r="F51" t="s">
        <v>403</v>
      </c>
    </row>
    <row r="52" spans="1:6" x14ac:dyDescent="0.35">
      <c r="A52" t="s">
        <v>404</v>
      </c>
      <c r="B52" t="s">
        <v>21</v>
      </c>
      <c r="C52" t="s">
        <v>405</v>
      </c>
      <c r="D52" t="s">
        <v>409</v>
      </c>
      <c r="E52" t="s">
        <v>693</v>
      </c>
      <c r="F52" t="s">
        <v>411</v>
      </c>
    </row>
    <row r="53" spans="1:6" x14ac:dyDescent="0.35">
      <c r="A53" t="s">
        <v>412</v>
      </c>
      <c r="B53" t="s">
        <v>21</v>
      </c>
      <c r="C53" t="s">
        <v>413</v>
      </c>
      <c r="D53" t="s">
        <v>418</v>
      </c>
      <c r="E53" t="s">
        <v>694</v>
      </c>
      <c r="F53" t="s">
        <v>420</v>
      </c>
    </row>
    <row r="54" spans="1:6" x14ac:dyDescent="0.35">
      <c r="A54" t="s">
        <v>421</v>
      </c>
      <c r="B54" t="s">
        <v>21</v>
      </c>
      <c r="C54" t="s">
        <v>422</v>
      </c>
      <c r="D54" t="s">
        <v>426</v>
      </c>
      <c r="E54" t="s">
        <v>695</v>
      </c>
      <c r="F54" t="s">
        <v>428</v>
      </c>
    </row>
    <row r="55" spans="1:6" x14ac:dyDescent="0.35">
      <c r="A55" t="s">
        <v>429</v>
      </c>
      <c r="B55" t="s">
        <v>21</v>
      </c>
      <c r="C55" t="s">
        <v>430</v>
      </c>
      <c r="D55" t="s">
        <v>435</v>
      </c>
      <c r="E55" t="s">
        <v>696</v>
      </c>
      <c r="F55" t="s">
        <v>437</v>
      </c>
    </row>
    <row r="56" spans="1:6" x14ac:dyDescent="0.35">
      <c r="A56" t="s">
        <v>438</v>
      </c>
      <c r="B56" t="s">
        <v>140</v>
      </c>
      <c r="C56" t="s">
        <v>439</v>
      </c>
      <c r="D56" t="s">
        <v>443</v>
      </c>
      <c r="E56" t="s">
        <v>697</v>
      </c>
      <c r="F56" t="s">
        <v>445</v>
      </c>
    </row>
    <row r="57" spans="1:6" x14ac:dyDescent="0.35">
      <c r="A57" t="s">
        <v>446</v>
      </c>
      <c r="B57" t="s">
        <v>140</v>
      </c>
      <c r="C57" t="s">
        <v>447</v>
      </c>
      <c r="D57" t="s">
        <v>451</v>
      </c>
      <c r="E57" t="s">
        <v>698</v>
      </c>
      <c r="F57" t="s">
        <v>453</v>
      </c>
    </row>
    <row r="58" spans="1:6" x14ac:dyDescent="0.35">
      <c r="A58" t="s">
        <v>454</v>
      </c>
      <c r="B58" t="s">
        <v>140</v>
      </c>
      <c r="C58" t="s">
        <v>455</v>
      </c>
      <c r="D58" t="s">
        <v>459</v>
      </c>
      <c r="E58" t="s">
        <v>699</v>
      </c>
      <c r="F58" t="s">
        <v>461</v>
      </c>
    </row>
    <row r="59" spans="1:6" x14ac:dyDescent="0.35">
      <c r="A59" t="s">
        <v>462</v>
      </c>
      <c r="B59" t="s">
        <v>140</v>
      </c>
      <c r="C59" t="s">
        <v>463</v>
      </c>
      <c r="D59" t="s">
        <v>466</v>
      </c>
      <c r="E59" t="s">
        <v>700</v>
      </c>
      <c r="F59" t="s">
        <v>468</v>
      </c>
    </row>
    <row r="60" spans="1:6" x14ac:dyDescent="0.35">
      <c r="A60" t="s">
        <v>469</v>
      </c>
      <c r="B60" t="s">
        <v>140</v>
      </c>
      <c r="C60" t="s">
        <v>470</v>
      </c>
      <c r="D60" t="s">
        <v>473</v>
      </c>
      <c r="E60" t="s">
        <v>701</v>
      </c>
      <c r="F60" t="s">
        <v>475</v>
      </c>
    </row>
    <row r="61" spans="1:6" x14ac:dyDescent="0.35">
      <c r="A61" t="s">
        <v>476</v>
      </c>
      <c r="B61" t="s">
        <v>140</v>
      </c>
      <c r="C61" t="s">
        <v>477</v>
      </c>
      <c r="D61" t="s">
        <v>482</v>
      </c>
      <c r="E61" t="s">
        <v>702</v>
      </c>
      <c r="F61" t="s">
        <v>484</v>
      </c>
    </row>
    <row r="62" spans="1:6" x14ac:dyDescent="0.35">
      <c r="A62" t="s">
        <v>485</v>
      </c>
      <c r="B62" t="s">
        <v>140</v>
      </c>
      <c r="C62" t="s">
        <v>486</v>
      </c>
      <c r="D62" t="s">
        <v>490</v>
      </c>
      <c r="E62" t="s">
        <v>703</v>
      </c>
      <c r="F62" t="s">
        <v>492</v>
      </c>
    </row>
    <row r="63" spans="1:6" x14ac:dyDescent="0.35">
      <c r="A63" t="s">
        <v>493</v>
      </c>
      <c r="B63" t="s">
        <v>140</v>
      </c>
      <c r="C63" t="s">
        <v>494</v>
      </c>
      <c r="D63" t="s">
        <v>498</v>
      </c>
      <c r="E63" t="s">
        <v>704</v>
      </c>
      <c r="F63" t="s">
        <v>500</v>
      </c>
    </row>
    <row r="64" spans="1:6" x14ac:dyDescent="0.35">
      <c r="A64" t="s">
        <v>501</v>
      </c>
      <c r="B64" t="s">
        <v>140</v>
      </c>
      <c r="C64" t="s">
        <v>502</v>
      </c>
      <c r="D64" t="s">
        <v>507</v>
      </c>
      <c r="E64" t="s">
        <v>705</v>
      </c>
      <c r="F64" t="s">
        <v>509</v>
      </c>
    </row>
    <row r="65" spans="1:6" x14ac:dyDescent="0.35">
      <c r="A65" t="s">
        <v>510</v>
      </c>
      <c r="B65" t="s">
        <v>140</v>
      </c>
      <c r="C65" t="s">
        <v>511</v>
      </c>
      <c r="D65" t="s">
        <v>517</v>
      </c>
      <c r="E65" t="s">
        <v>706</v>
      </c>
      <c r="F65" t="s">
        <v>519</v>
      </c>
    </row>
    <row r="66" spans="1:6" x14ac:dyDescent="0.35">
      <c r="A66" t="s">
        <v>520</v>
      </c>
      <c r="B66" t="s">
        <v>210</v>
      </c>
      <c r="C66" t="s">
        <v>521</v>
      </c>
      <c r="D66" t="s">
        <v>525</v>
      </c>
      <c r="E66" t="s">
        <v>707</v>
      </c>
      <c r="F66" t="s">
        <v>527</v>
      </c>
    </row>
    <row r="67" spans="1:6" x14ac:dyDescent="0.35">
      <c r="A67" t="s">
        <v>528</v>
      </c>
      <c r="B67" t="s">
        <v>210</v>
      </c>
      <c r="C67" t="s">
        <v>529</v>
      </c>
      <c r="D67" t="s">
        <v>534</v>
      </c>
      <c r="E67" t="s">
        <v>708</v>
      </c>
      <c r="F67" t="s">
        <v>536</v>
      </c>
    </row>
    <row r="68" spans="1:6" x14ac:dyDescent="0.35">
      <c r="A68" t="s">
        <v>537</v>
      </c>
      <c r="B68" t="s">
        <v>210</v>
      </c>
      <c r="C68" t="s">
        <v>538</v>
      </c>
      <c r="D68" t="s">
        <v>541</v>
      </c>
      <c r="E68" t="s">
        <v>709</v>
      </c>
      <c r="F68" t="s">
        <v>543</v>
      </c>
    </row>
    <row r="69" spans="1:6" x14ac:dyDescent="0.35">
      <c r="A69" t="s">
        <v>544</v>
      </c>
      <c r="B69" t="s">
        <v>210</v>
      </c>
      <c r="C69" t="s">
        <v>545</v>
      </c>
      <c r="D69" t="s">
        <v>549</v>
      </c>
      <c r="E69" t="s">
        <v>710</v>
      </c>
      <c r="F69" t="s">
        <v>551</v>
      </c>
    </row>
    <row r="70" spans="1:6" x14ac:dyDescent="0.35">
      <c r="A70" t="s">
        <v>552</v>
      </c>
      <c r="B70" t="s">
        <v>210</v>
      </c>
      <c r="C70" t="s">
        <v>553</v>
      </c>
      <c r="D70" t="s">
        <v>557</v>
      </c>
      <c r="E70" t="s">
        <v>711</v>
      </c>
      <c r="F70" t="s">
        <v>559</v>
      </c>
    </row>
    <row r="71" spans="1:6" x14ac:dyDescent="0.35">
      <c r="A71" t="s">
        <v>560</v>
      </c>
      <c r="B71" t="s">
        <v>210</v>
      </c>
      <c r="C71" t="s">
        <v>561</v>
      </c>
      <c r="D71" t="s">
        <v>566</v>
      </c>
      <c r="E71" t="s">
        <v>712</v>
      </c>
      <c r="F71" t="s">
        <v>568</v>
      </c>
    </row>
    <row r="72" spans="1:6" x14ac:dyDescent="0.35">
      <c r="A72" t="s">
        <v>569</v>
      </c>
      <c r="B72" t="s">
        <v>210</v>
      </c>
      <c r="C72" t="s">
        <v>570</v>
      </c>
      <c r="D72" t="s">
        <v>574</v>
      </c>
      <c r="E72" t="s">
        <v>713</v>
      </c>
      <c r="F72" t="s">
        <v>576</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zoomScaleNormal="100" workbookViewId="0"/>
  </sheetViews>
  <sheetFormatPr defaultColWidth="8.6328125" defaultRowHeight="14.5" x14ac:dyDescent="0.35"/>
  <sheetData>
    <row r="1" spans="1:14" x14ac:dyDescent="0.35">
      <c r="A1" t="s">
        <v>16</v>
      </c>
      <c r="B1" t="s">
        <v>714</v>
      </c>
      <c r="C1" t="s">
        <v>1</v>
      </c>
      <c r="D1" t="s">
        <v>715</v>
      </c>
      <c r="E1" t="s">
        <v>716</v>
      </c>
      <c r="F1" t="s">
        <v>717</v>
      </c>
      <c r="G1" t="s">
        <v>718</v>
      </c>
      <c r="H1" t="s">
        <v>719</v>
      </c>
      <c r="I1" t="s">
        <v>720</v>
      </c>
      <c r="J1" t="s">
        <v>721</v>
      </c>
      <c r="K1" t="s">
        <v>722</v>
      </c>
      <c r="L1" t="s">
        <v>723</v>
      </c>
      <c r="M1" t="s">
        <v>724</v>
      </c>
      <c r="N1" t="s">
        <v>725</v>
      </c>
    </row>
    <row r="2" spans="1:14" ht="232" customHeight="1" x14ac:dyDescent="0.35">
      <c r="A2" t="s">
        <v>79</v>
      </c>
      <c r="B2" t="s">
        <v>726</v>
      </c>
      <c r="C2" t="s">
        <v>21</v>
      </c>
      <c r="D2" t="s">
        <v>70</v>
      </c>
      <c r="E2" t="s">
        <v>727</v>
      </c>
      <c r="F2" s="3" t="s">
        <v>728</v>
      </c>
      <c r="G2" t="s">
        <v>729</v>
      </c>
      <c r="H2" t="s">
        <v>730</v>
      </c>
      <c r="I2" t="s">
        <v>731</v>
      </c>
      <c r="J2" t="s">
        <v>55</v>
      </c>
      <c r="K2" t="s">
        <v>732</v>
      </c>
      <c r="L2" t="s">
        <v>733</v>
      </c>
      <c r="M2" t="s">
        <v>734</v>
      </c>
      <c r="N2" t="s">
        <v>735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
  <sheetViews>
    <sheetView zoomScaleNormal="100" workbookViewId="0"/>
  </sheetViews>
  <sheetFormatPr defaultColWidth="8.6328125" defaultRowHeight="14.5" x14ac:dyDescent="0.35"/>
  <sheetData>
    <row r="1" spans="1:10" x14ac:dyDescent="0.35">
      <c r="A1" t="s">
        <v>736</v>
      </c>
      <c r="B1" t="s">
        <v>737</v>
      </c>
      <c r="C1" t="s">
        <v>738</v>
      </c>
      <c r="D1" t="s">
        <v>739</v>
      </c>
      <c r="E1" t="s">
        <v>740</v>
      </c>
      <c r="F1" t="s">
        <v>741</v>
      </c>
      <c r="G1" t="s">
        <v>742</v>
      </c>
      <c r="H1" t="s">
        <v>743</v>
      </c>
      <c r="I1" t="s">
        <v>744</v>
      </c>
      <c r="J1" t="s">
        <v>745</v>
      </c>
    </row>
    <row r="2" spans="1:10" x14ac:dyDescent="0.35">
      <c r="A2">
        <v>1</v>
      </c>
      <c r="B2" t="s">
        <v>746</v>
      </c>
      <c r="C2" t="s">
        <v>747</v>
      </c>
      <c r="D2" t="s">
        <v>748</v>
      </c>
      <c r="E2" t="s">
        <v>749</v>
      </c>
      <c r="F2" t="s">
        <v>750</v>
      </c>
      <c r="G2" t="s">
        <v>751</v>
      </c>
      <c r="H2" t="s">
        <v>752</v>
      </c>
      <c r="I2" t="s">
        <v>753</v>
      </c>
      <c r="J2" t="s">
        <v>754</v>
      </c>
    </row>
    <row r="3" spans="1:10" x14ac:dyDescent="0.35">
      <c r="A3">
        <v>2</v>
      </c>
      <c r="B3" t="s">
        <v>755</v>
      </c>
      <c r="C3" t="s">
        <v>756</v>
      </c>
      <c r="D3" t="s">
        <v>748</v>
      </c>
      <c r="E3" t="s">
        <v>757</v>
      </c>
      <c r="F3" t="s">
        <v>758</v>
      </c>
      <c r="G3" t="s">
        <v>759</v>
      </c>
      <c r="H3" t="s">
        <v>760</v>
      </c>
      <c r="I3" t="s">
        <v>761</v>
      </c>
      <c r="J3" t="s">
        <v>762</v>
      </c>
    </row>
    <row r="4" spans="1:10" x14ac:dyDescent="0.35">
      <c r="A4">
        <v>3</v>
      </c>
      <c r="B4" t="s">
        <v>755</v>
      </c>
      <c r="C4" t="s">
        <v>763</v>
      </c>
      <c r="D4" t="s">
        <v>764</v>
      </c>
      <c r="E4" t="s">
        <v>765</v>
      </c>
      <c r="F4" t="s">
        <v>766</v>
      </c>
      <c r="G4" t="s">
        <v>767</v>
      </c>
      <c r="H4" t="s">
        <v>760</v>
      </c>
      <c r="I4" t="s">
        <v>768</v>
      </c>
      <c r="J4" t="s">
        <v>769</v>
      </c>
    </row>
    <row r="5" spans="1:10" x14ac:dyDescent="0.35">
      <c r="A5">
        <v>4</v>
      </c>
      <c r="B5" t="s">
        <v>770</v>
      </c>
      <c r="C5" t="s">
        <v>763</v>
      </c>
      <c r="D5" t="s">
        <v>764</v>
      </c>
      <c r="E5" t="s">
        <v>771</v>
      </c>
      <c r="F5" t="s">
        <v>772</v>
      </c>
      <c r="G5" t="s">
        <v>773</v>
      </c>
      <c r="H5" t="s">
        <v>774</v>
      </c>
      <c r="I5" t="s">
        <v>775</v>
      </c>
      <c r="J5" t="s">
        <v>776</v>
      </c>
    </row>
    <row r="6" spans="1:10" x14ac:dyDescent="0.35">
      <c r="A6">
        <v>5</v>
      </c>
      <c r="B6" t="s">
        <v>777</v>
      </c>
      <c r="C6" t="s">
        <v>778</v>
      </c>
      <c r="D6" t="s">
        <v>764</v>
      </c>
      <c r="E6" t="s">
        <v>779</v>
      </c>
      <c r="F6" t="s">
        <v>780</v>
      </c>
      <c r="G6" t="s">
        <v>781</v>
      </c>
      <c r="H6" t="s">
        <v>760</v>
      </c>
      <c r="I6" t="s">
        <v>782</v>
      </c>
      <c r="J6" t="s">
        <v>783</v>
      </c>
    </row>
    <row r="7" spans="1:10" x14ac:dyDescent="0.35">
      <c r="A7">
        <v>6</v>
      </c>
      <c r="B7" t="s">
        <v>734</v>
      </c>
      <c r="C7" t="s">
        <v>784</v>
      </c>
      <c r="D7" t="s">
        <v>785</v>
      </c>
      <c r="E7" t="s">
        <v>786</v>
      </c>
      <c r="F7" t="s">
        <v>787</v>
      </c>
      <c r="G7" t="s">
        <v>788</v>
      </c>
      <c r="H7" t="s">
        <v>789</v>
      </c>
      <c r="I7" t="s">
        <v>790</v>
      </c>
      <c r="J7" t="s">
        <v>791</v>
      </c>
    </row>
    <row r="8" spans="1:10" x14ac:dyDescent="0.35">
      <c r="A8">
        <v>7</v>
      </c>
      <c r="B8" t="s">
        <v>734</v>
      </c>
      <c r="C8" t="s">
        <v>792</v>
      </c>
      <c r="D8" t="s">
        <v>793</v>
      </c>
      <c r="E8" t="s">
        <v>794</v>
      </c>
      <c r="F8" t="s">
        <v>795</v>
      </c>
    </row>
    <row r="9" spans="1:10" x14ac:dyDescent="0.35">
      <c r="A9">
        <v>8</v>
      </c>
      <c r="B9" t="s">
        <v>734</v>
      </c>
      <c r="C9" t="s">
        <v>778</v>
      </c>
      <c r="D9" t="s">
        <v>796</v>
      </c>
      <c r="E9" t="s">
        <v>797</v>
      </c>
      <c r="F9" t="s">
        <v>798</v>
      </c>
      <c r="G9" t="s">
        <v>799</v>
      </c>
      <c r="H9" t="s">
        <v>800</v>
      </c>
      <c r="I9" t="s">
        <v>801</v>
      </c>
      <c r="J9" t="s">
        <v>802</v>
      </c>
    </row>
    <row r="10" spans="1:10" x14ac:dyDescent="0.35">
      <c r="A10">
        <v>9</v>
      </c>
      <c r="B10" t="s">
        <v>734</v>
      </c>
      <c r="C10" t="s">
        <v>803</v>
      </c>
      <c r="D10" t="s">
        <v>764</v>
      </c>
      <c r="E10" t="s">
        <v>804</v>
      </c>
      <c r="F10" t="s">
        <v>805</v>
      </c>
      <c r="G10" t="s">
        <v>806</v>
      </c>
      <c r="H10" t="s">
        <v>807</v>
      </c>
      <c r="I10" t="s">
        <v>808</v>
      </c>
      <c r="J10" t="s">
        <v>809</v>
      </c>
    </row>
    <row r="11" spans="1:10" x14ac:dyDescent="0.35">
      <c r="A11">
        <v>10</v>
      </c>
      <c r="B11" t="s">
        <v>734</v>
      </c>
      <c r="C11" t="s">
        <v>810</v>
      </c>
      <c r="D11" t="s">
        <v>764</v>
      </c>
      <c r="E11" t="s">
        <v>811</v>
      </c>
      <c r="F11" t="s">
        <v>812</v>
      </c>
      <c r="G11" t="s">
        <v>813</v>
      </c>
      <c r="H11" t="s">
        <v>814</v>
      </c>
      <c r="I11" t="s">
        <v>815</v>
      </c>
      <c r="J11" t="s">
        <v>816</v>
      </c>
    </row>
    <row r="12" spans="1:10" x14ac:dyDescent="0.35">
      <c r="A12">
        <v>11</v>
      </c>
      <c r="B12" t="s">
        <v>817</v>
      </c>
      <c r="C12" t="s">
        <v>818</v>
      </c>
      <c r="D12" t="s">
        <v>764</v>
      </c>
      <c r="E12" t="s">
        <v>819</v>
      </c>
      <c r="F12" t="s">
        <v>820</v>
      </c>
      <c r="G12" t="s">
        <v>821</v>
      </c>
      <c r="H12" t="s">
        <v>814</v>
      </c>
      <c r="I12" t="s">
        <v>822</v>
      </c>
      <c r="J12" t="s">
        <v>823</v>
      </c>
    </row>
    <row r="13" spans="1:10" x14ac:dyDescent="0.35">
      <c r="A13">
        <v>12</v>
      </c>
      <c r="B13" t="s">
        <v>817</v>
      </c>
      <c r="C13" t="s">
        <v>778</v>
      </c>
      <c r="D13" t="s">
        <v>764</v>
      </c>
      <c r="E13" t="s">
        <v>824</v>
      </c>
      <c r="F13" t="s">
        <v>825</v>
      </c>
      <c r="G13" t="s">
        <v>826</v>
      </c>
      <c r="H13" t="s">
        <v>827</v>
      </c>
      <c r="I13" t="s">
        <v>828</v>
      </c>
      <c r="J13" t="s">
        <v>829</v>
      </c>
    </row>
    <row r="14" spans="1:10" x14ac:dyDescent="0.35">
      <c r="A14">
        <v>13</v>
      </c>
      <c r="B14" t="s">
        <v>817</v>
      </c>
      <c r="C14" t="s">
        <v>830</v>
      </c>
      <c r="D14" t="s">
        <v>831</v>
      </c>
      <c r="E14" t="s">
        <v>832</v>
      </c>
      <c r="F14" t="s">
        <v>833</v>
      </c>
      <c r="G14" t="s">
        <v>834</v>
      </c>
      <c r="H14" t="s">
        <v>835</v>
      </c>
      <c r="I14" t="s">
        <v>836</v>
      </c>
      <c r="J14" t="s">
        <v>837</v>
      </c>
    </row>
    <row r="15" spans="1:10" x14ac:dyDescent="0.35">
      <c r="A15">
        <v>14</v>
      </c>
      <c r="B15" t="s">
        <v>34</v>
      </c>
      <c r="C15" t="s">
        <v>838</v>
      </c>
      <c r="D15" t="s">
        <v>839</v>
      </c>
      <c r="E15" t="s">
        <v>840</v>
      </c>
      <c r="F15" t="s">
        <v>841</v>
      </c>
      <c r="G15" t="s">
        <v>842</v>
      </c>
      <c r="H15" t="s">
        <v>760</v>
      </c>
      <c r="I15" t="s">
        <v>843</v>
      </c>
      <c r="J15" t="s">
        <v>844</v>
      </c>
    </row>
    <row r="16" spans="1:10" x14ac:dyDescent="0.35">
      <c r="A16">
        <v>15</v>
      </c>
      <c r="B16" t="s">
        <v>34</v>
      </c>
      <c r="C16" t="s">
        <v>845</v>
      </c>
      <c r="D16" t="s">
        <v>764</v>
      </c>
      <c r="E16" t="s">
        <v>846</v>
      </c>
      <c r="F16" t="s">
        <v>847</v>
      </c>
      <c r="G16" t="s">
        <v>848</v>
      </c>
      <c r="H16" t="s">
        <v>835</v>
      </c>
      <c r="I16" t="s">
        <v>849</v>
      </c>
      <c r="J16" t="s">
        <v>850</v>
      </c>
    </row>
    <row r="17" spans="1:10" x14ac:dyDescent="0.35">
      <c r="A17">
        <v>16</v>
      </c>
      <c r="B17" t="s">
        <v>34</v>
      </c>
      <c r="C17" t="s">
        <v>851</v>
      </c>
      <c r="D17" t="s">
        <v>764</v>
      </c>
      <c r="E17" t="s">
        <v>852</v>
      </c>
      <c r="F17" t="s">
        <v>853</v>
      </c>
      <c r="G17" t="s">
        <v>854</v>
      </c>
      <c r="H17" t="s">
        <v>855</v>
      </c>
      <c r="I17" t="s">
        <v>856</v>
      </c>
      <c r="J17" t="s">
        <v>857</v>
      </c>
    </row>
    <row r="18" spans="1:10" x14ac:dyDescent="0.35">
      <c r="A18">
        <v>17</v>
      </c>
      <c r="B18" t="s">
        <v>34</v>
      </c>
      <c r="C18" t="s">
        <v>858</v>
      </c>
      <c r="D18" t="s">
        <v>764</v>
      </c>
      <c r="E18" t="s">
        <v>859</v>
      </c>
      <c r="F18" t="s">
        <v>860</v>
      </c>
      <c r="G18" t="s">
        <v>861</v>
      </c>
      <c r="H18" t="s">
        <v>835</v>
      </c>
      <c r="I18" t="s">
        <v>862</v>
      </c>
      <c r="J18" t="s">
        <v>863</v>
      </c>
    </row>
    <row r="19" spans="1:10" x14ac:dyDescent="0.35">
      <c r="A19">
        <v>18</v>
      </c>
      <c r="B19" t="s">
        <v>310</v>
      </c>
      <c r="C19" t="s">
        <v>864</v>
      </c>
      <c r="D19" t="s">
        <v>839</v>
      </c>
      <c r="E19" t="s">
        <v>865</v>
      </c>
      <c r="F19" t="s">
        <v>866</v>
      </c>
      <c r="G19" t="s">
        <v>867</v>
      </c>
      <c r="H19" t="s">
        <v>835</v>
      </c>
      <c r="I19" t="s">
        <v>868</v>
      </c>
      <c r="J19" t="s">
        <v>869</v>
      </c>
    </row>
    <row r="20" spans="1:10" x14ac:dyDescent="0.35">
      <c r="A20">
        <v>19</v>
      </c>
      <c r="B20" t="s">
        <v>310</v>
      </c>
      <c r="C20" t="s">
        <v>803</v>
      </c>
      <c r="D20" t="s">
        <v>839</v>
      </c>
      <c r="E20" t="s">
        <v>870</v>
      </c>
      <c r="F20" t="s">
        <v>871</v>
      </c>
      <c r="G20" t="s">
        <v>872</v>
      </c>
      <c r="H20" t="s">
        <v>835</v>
      </c>
      <c r="I20" t="s">
        <v>873</v>
      </c>
      <c r="J20" t="s">
        <v>874</v>
      </c>
    </row>
    <row r="21" spans="1:10" x14ac:dyDescent="0.35">
      <c r="A21">
        <v>20</v>
      </c>
      <c r="B21" t="s">
        <v>310</v>
      </c>
      <c r="C21" t="s">
        <v>875</v>
      </c>
      <c r="D21" t="s">
        <v>876</v>
      </c>
      <c r="E21" t="s">
        <v>877</v>
      </c>
      <c r="F21" t="s">
        <v>878</v>
      </c>
      <c r="G21" t="s">
        <v>879</v>
      </c>
      <c r="H21" t="s">
        <v>835</v>
      </c>
      <c r="I21" t="s">
        <v>880</v>
      </c>
      <c r="J21" t="s">
        <v>881</v>
      </c>
    </row>
    <row r="22" spans="1:10" x14ac:dyDescent="0.35">
      <c r="A22">
        <v>21</v>
      </c>
      <c r="B22" t="s">
        <v>310</v>
      </c>
      <c r="C22" t="s">
        <v>882</v>
      </c>
      <c r="D22" t="s">
        <v>839</v>
      </c>
      <c r="E22" t="s">
        <v>883</v>
      </c>
      <c r="F22" t="s">
        <v>884</v>
      </c>
      <c r="G22" t="s">
        <v>885</v>
      </c>
      <c r="H22" t="s">
        <v>835</v>
      </c>
      <c r="I22" t="s">
        <v>886</v>
      </c>
      <c r="J22" t="s">
        <v>887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zoomScaleNormal="100" workbookViewId="0"/>
  </sheetViews>
  <sheetFormatPr defaultColWidth="8.6328125" defaultRowHeight="14.5" x14ac:dyDescent="0.35"/>
  <sheetData>
    <row r="1" spans="1:10" x14ac:dyDescent="0.35">
      <c r="A1" t="s">
        <v>1</v>
      </c>
      <c r="B1" t="s">
        <v>2</v>
      </c>
      <c r="C1" t="s">
        <v>888</v>
      </c>
      <c r="D1" t="s">
        <v>889</v>
      </c>
      <c r="E1" t="s">
        <v>27</v>
      </c>
      <c r="F1" t="s">
        <v>227</v>
      </c>
      <c r="G1" t="s">
        <v>890</v>
      </c>
      <c r="H1" t="s">
        <v>891</v>
      </c>
      <c r="I1" t="s">
        <v>232</v>
      </c>
      <c r="J1" t="s">
        <v>892</v>
      </c>
    </row>
    <row r="2" spans="1:10" x14ac:dyDescent="0.35">
      <c r="A2" t="s">
        <v>21</v>
      </c>
      <c r="B2" t="s">
        <v>22</v>
      </c>
      <c r="C2" t="s">
        <v>893</v>
      </c>
      <c r="D2">
        <f>COUNTIF('Test Cases'!$C:$C, B2)</f>
        <v>12</v>
      </c>
      <c r="E2">
        <f>COUNTIFS('Test Cases'!$C:$C, B2, 'Test Cases'!$H:$H, "Auto")</f>
        <v>12</v>
      </c>
      <c r="F2">
        <f>COUNTIFS('Test Cases'!$C:$C, B2, 'Test Cases'!$H:$H, "Manual")</f>
        <v>0</v>
      </c>
      <c r="G2">
        <f>COUNTIFS('Test Cases'!$C:$C, B2, 'Test Cases'!$N:$N, "Pass")</f>
        <v>6</v>
      </c>
      <c r="H2">
        <f>COUNTIFS('Test Cases'!$C:$C, B2, 'Test Cases'!$N:$N, "Fail")</f>
        <v>1</v>
      </c>
      <c r="I2">
        <f>COUNTIFS('Test Cases'!$C:$C, B2, 'Test Cases'!$N:$N, "Not Run")</f>
        <v>5</v>
      </c>
      <c r="J2" s="4">
        <f t="shared" ref="J2:J15" si="0">IF(D2&gt;0, G2/D2, 0)</f>
        <v>0.5</v>
      </c>
    </row>
    <row r="3" spans="1:10" x14ac:dyDescent="0.35">
      <c r="A3" t="s">
        <v>21</v>
      </c>
      <c r="B3" t="s">
        <v>90</v>
      </c>
      <c r="C3" t="s">
        <v>894</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4">
        <f t="shared" si="0"/>
        <v>1</v>
      </c>
    </row>
    <row r="4" spans="1:10" x14ac:dyDescent="0.35">
      <c r="A4" t="s">
        <v>21</v>
      </c>
      <c r="B4" t="s">
        <v>102</v>
      </c>
      <c r="C4" t="s">
        <v>895</v>
      </c>
      <c r="D4">
        <f>COUNTIF('Test Cases'!$C:$C, B4)</f>
        <v>5</v>
      </c>
      <c r="E4">
        <f>COUNTIFS('Test Cases'!$C:$C, B4, 'Test Cases'!$H:$H, "Auto")</f>
        <v>4</v>
      </c>
      <c r="F4">
        <f>COUNTIFS('Test Cases'!$C:$C, B4, 'Test Cases'!$H:$H, "Manual")</f>
        <v>1</v>
      </c>
      <c r="G4">
        <f>COUNTIFS('Test Cases'!$C:$C, B4, 'Test Cases'!$N:$N, "Pass")</f>
        <v>3</v>
      </c>
      <c r="H4">
        <f>COUNTIFS('Test Cases'!$C:$C, B4, 'Test Cases'!$N:$N, "Fail")</f>
        <v>0</v>
      </c>
      <c r="I4">
        <f>COUNTIFS('Test Cases'!$C:$C, B4, 'Test Cases'!$N:$N, "Not Run")</f>
        <v>2</v>
      </c>
      <c r="J4" s="4">
        <f t="shared" si="0"/>
        <v>0.6</v>
      </c>
    </row>
    <row r="5" spans="1:10" x14ac:dyDescent="0.35">
      <c r="A5" t="s">
        <v>21</v>
      </c>
      <c r="B5" t="s">
        <v>130</v>
      </c>
      <c r="C5" t="s">
        <v>896</v>
      </c>
      <c r="D5">
        <f>COUNTIF('Test Cases'!$C:$C, B5)</f>
        <v>2</v>
      </c>
      <c r="E5">
        <f>COUNTIFS('Test Cases'!$C:$C, B5, 'Test Cases'!$H:$H, "Auto")</f>
        <v>2</v>
      </c>
      <c r="F5">
        <f>COUNTIFS('Test Cases'!$C:$C, B5, 'Test Cases'!$H:$H, "Manual")</f>
        <v>0</v>
      </c>
      <c r="G5">
        <f>COUNTIFS('Test Cases'!$C:$C, B5, 'Test Cases'!$N:$N, "Pass")</f>
        <v>1</v>
      </c>
      <c r="H5">
        <f>COUNTIFS('Test Cases'!$C:$C, B5, 'Test Cases'!$N:$N, "Fail")</f>
        <v>0</v>
      </c>
      <c r="I5">
        <f>COUNTIFS('Test Cases'!$C:$C, B5, 'Test Cases'!$N:$N, "Not Run")</f>
        <v>1</v>
      </c>
      <c r="J5" s="4">
        <f t="shared" si="0"/>
        <v>0.5</v>
      </c>
    </row>
    <row r="6" spans="1:10" x14ac:dyDescent="0.35">
      <c r="A6" s="5" t="s">
        <v>897</v>
      </c>
      <c r="B6" s="5" t="s">
        <v>898</v>
      </c>
      <c r="C6" s="5" t="s">
        <v>899</v>
      </c>
      <c r="D6" s="5">
        <f t="shared" ref="D6:I6" si="1">SUM(D2:D5)</f>
        <v>20</v>
      </c>
      <c r="E6" s="5">
        <f t="shared" si="1"/>
        <v>19</v>
      </c>
      <c r="F6" s="5">
        <f t="shared" si="1"/>
        <v>1</v>
      </c>
      <c r="G6" s="5">
        <f t="shared" si="1"/>
        <v>11</v>
      </c>
      <c r="H6" s="5">
        <f t="shared" si="1"/>
        <v>1</v>
      </c>
      <c r="I6" s="5">
        <f t="shared" si="1"/>
        <v>8</v>
      </c>
      <c r="J6" s="6">
        <f t="shared" si="0"/>
        <v>0.55000000000000004</v>
      </c>
    </row>
    <row r="7" spans="1:10" x14ac:dyDescent="0.35">
      <c r="A7" t="s">
        <v>900</v>
      </c>
      <c r="B7" t="s">
        <v>141</v>
      </c>
      <c r="C7" t="s">
        <v>901</v>
      </c>
      <c r="D7">
        <f>COUNTIF('Test Cases'!$C:$C, B7)</f>
        <v>7</v>
      </c>
      <c r="E7">
        <f>COUNTIFS('Test Cases'!$C:$C, B7, 'Test Cases'!$H:$H, "Auto")</f>
        <v>7</v>
      </c>
      <c r="F7">
        <f>COUNTIFS('Test Cases'!$C:$C, B7, 'Test Cases'!$H:$H, "Manual")</f>
        <v>0</v>
      </c>
      <c r="G7">
        <f>COUNTIFS('Test Cases'!$C:$C, B7, 'Test Cases'!$N:$N, "Pass")</f>
        <v>7</v>
      </c>
      <c r="H7">
        <f>COUNTIFS('Test Cases'!$C:$C, B7, 'Test Cases'!$N:$N, "Fail")</f>
        <v>0</v>
      </c>
      <c r="I7">
        <f>COUNTIFS('Test Cases'!$C:$C, B7, 'Test Cases'!$N:$N, "Not Run")</f>
        <v>0</v>
      </c>
      <c r="J7" s="4">
        <f t="shared" si="0"/>
        <v>1</v>
      </c>
    </row>
    <row r="8" spans="1:10" x14ac:dyDescent="0.35">
      <c r="A8" t="s">
        <v>900</v>
      </c>
      <c r="B8" t="s">
        <v>190</v>
      </c>
      <c r="C8" t="s">
        <v>902</v>
      </c>
      <c r="D8">
        <f>COUNTIF('Test Cases'!$C:$C, B8)</f>
        <v>4</v>
      </c>
      <c r="E8">
        <f>COUNTIFS('Test Cases'!$C:$C, B8, 'Test Cases'!$H:$H, "Auto")</f>
        <v>4</v>
      </c>
      <c r="F8">
        <f>COUNTIFS('Test Cases'!$C:$C, B8, 'Test Cases'!$H:$H, "Manual")</f>
        <v>0</v>
      </c>
      <c r="G8">
        <f>COUNTIFS('Test Cases'!$C:$C, B8, 'Test Cases'!$N:$N, "Pass")</f>
        <v>3</v>
      </c>
      <c r="H8">
        <f>COUNTIFS('Test Cases'!$C:$C, B8, 'Test Cases'!$N:$N, "Fail")</f>
        <v>0</v>
      </c>
      <c r="I8">
        <f>COUNTIFS('Test Cases'!$C:$C, B8, 'Test Cases'!$N:$N, "Not Run")</f>
        <v>1</v>
      </c>
      <c r="J8" s="4">
        <f t="shared" si="0"/>
        <v>0.75</v>
      </c>
    </row>
    <row r="9" spans="1:10" x14ac:dyDescent="0.35">
      <c r="A9" t="s">
        <v>900</v>
      </c>
      <c r="B9" t="s">
        <v>223</v>
      </c>
      <c r="C9" t="s">
        <v>903</v>
      </c>
      <c r="D9">
        <f>COUNTIF('Test Cases'!$C:$C, B9)</f>
        <v>15</v>
      </c>
      <c r="E9">
        <f>COUNTIFS('Test Cases'!$C:$C, B9, 'Test Cases'!$H:$H, "Auto")</f>
        <v>2</v>
      </c>
      <c r="F9">
        <f>COUNTIFS('Test Cases'!$C:$C, B9, 'Test Cases'!$H:$H, "Manual")</f>
        <v>13</v>
      </c>
      <c r="G9">
        <f>COUNTIFS('Test Cases'!$C:$C, B9, 'Test Cases'!$N:$N, "Pass")</f>
        <v>0</v>
      </c>
      <c r="H9">
        <f>COUNTIFS('Test Cases'!$C:$C, B9, 'Test Cases'!$N:$N, "Fail")</f>
        <v>0</v>
      </c>
      <c r="I9">
        <f>COUNTIFS('Test Cases'!$C:$C, B9, 'Test Cases'!$N:$N, "Not Run")</f>
        <v>15</v>
      </c>
      <c r="J9" s="4">
        <f t="shared" si="0"/>
        <v>0</v>
      </c>
    </row>
    <row r="10" spans="1:10" x14ac:dyDescent="0.35">
      <c r="A10" s="5" t="s">
        <v>904</v>
      </c>
      <c r="B10" s="5" t="s">
        <v>905</v>
      </c>
      <c r="C10" s="5" t="s">
        <v>906</v>
      </c>
      <c r="D10" s="5">
        <f t="shared" ref="D10:I10" si="2">SUM(D7:D9)</f>
        <v>26</v>
      </c>
      <c r="E10" s="5">
        <f t="shared" si="2"/>
        <v>13</v>
      </c>
      <c r="F10" s="5">
        <f t="shared" si="2"/>
        <v>13</v>
      </c>
      <c r="G10" s="5">
        <f t="shared" si="2"/>
        <v>10</v>
      </c>
      <c r="H10" s="5">
        <f t="shared" si="2"/>
        <v>0</v>
      </c>
      <c r="I10" s="5">
        <f t="shared" si="2"/>
        <v>16</v>
      </c>
      <c r="J10" s="6">
        <f t="shared" si="0"/>
        <v>0.38461538461538464</v>
      </c>
    </row>
    <row r="11" spans="1:10" x14ac:dyDescent="0.35">
      <c r="A11" t="s">
        <v>210</v>
      </c>
      <c r="B11" t="s">
        <v>211</v>
      </c>
      <c r="C11" t="s">
        <v>907</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4">
        <f t="shared" si="0"/>
        <v>1</v>
      </c>
    </row>
    <row r="12" spans="1:10" x14ac:dyDescent="0.35">
      <c r="A12" t="s">
        <v>210</v>
      </c>
      <c r="B12" t="s">
        <v>267</v>
      </c>
      <c r="C12" t="s">
        <v>268</v>
      </c>
      <c r="D12">
        <f>COUNTIF('Test Cases'!$C:$C, B12)</f>
        <v>10</v>
      </c>
      <c r="E12">
        <f>COUNTIFS('Test Cases'!$C:$C, B12, 'Test Cases'!$H:$H, "Auto")</f>
        <v>1</v>
      </c>
      <c r="F12">
        <f>COUNTIFS('Test Cases'!$C:$C, B12, 'Test Cases'!$H:$H, "Manual")</f>
        <v>9</v>
      </c>
      <c r="G12">
        <f>COUNTIFS('Test Cases'!$C:$C, B12, 'Test Cases'!$N:$N, "Pass")</f>
        <v>0</v>
      </c>
      <c r="H12">
        <f>COUNTIFS('Test Cases'!$C:$C, B12, 'Test Cases'!$N:$N, "Fail")</f>
        <v>0</v>
      </c>
      <c r="I12">
        <f>COUNTIFS('Test Cases'!$C:$C, B12, 'Test Cases'!$N:$N, "Not Run")</f>
        <v>10</v>
      </c>
      <c r="J12" s="4">
        <f t="shared" si="0"/>
        <v>0</v>
      </c>
    </row>
    <row r="13" spans="1:10" x14ac:dyDescent="0.35">
      <c r="A13" t="s">
        <v>210</v>
      </c>
      <c r="B13" t="s">
        <v>293</v>
      </c>
      <c r="C13" t="s">
        <v>294</v>
      </c>
      <c r="D13">
        <f>COUNTIF('Test Cases'!$C:$C, B13)</f>
        <v>4</v>
      </c>
      <c r="E13">
        <f>COUNTIFS('Test Cases'!$C:$C, B13, 'Test Cases'!$H:$H, "Auto")</f>
        <v>1</v>
      </c>
      <c r="F13">
        <f>COUNTIFS('Test Cases'!$C:$C, B13, 'Test Cases'!$H:$H, "Manual")</f>
        <v>3</v>
      </c>
      <c r="G13">
        <f>COUNTIFS('Test Cases'!$C:$C, B13, 'Test Cases'!$N:$N, "Pass")</f>
        <v>0</v>
      </c>
      <c r="H13">
        <f>COUNTIFS('Test Cases'!$C:$C, B13, 'Test Cases'!$N:$N, "Fail")</f>
        <v>0</v>
      </c>
      <c r="I13">
        <f>COUNTIFS('Test Cases'!$C:$C, B13, 'Test Cases'!$N:$N, "Not Run")</f>
        <v>4</v>
      </c>
      <c r="J13" s="4">
        <f t="shared" si="0"/>
        <v>0</v>
      </c>
    </row>
    <row r="14" spans="1:10" x14ac:dyDescent="0.35">
      <c r="A14" s="5" t="s">
        <v>908</v>
      </c>
      <c r="B14" s="5" t="s">
        <v>909</v>
      </c>
      <c r="C14" s="5" t="s">
        <v>910</v>
      </c>
      <c r="D14" s="5">
        <f t="shared" ref="D14:I14" si="3">SUM(D11:D13)</f>
        <v>15</v>
      </c>
      <c r="E14" s="5">
        <f t="shared" si="3"/>
        <v>3</v>
      </c>
      <c r="F14" s="5">
        <f t="shared" si="3"/>
        <v>12</v>
      </c>
      <c r="G14" s="5">
        <f t="shared" si="3"/>
        <v>1</v>
      </c>
      <c r="H14" s="5">
        <f t="shared" si="3"/>
        <v>0</v>
      </c>
      <c r="I14" s="5">
        <f t="shared" si="3"/>
        <v>14</v>
      </c>
      <c r="J14" s="6">
        <f t="shared" si="0"/>
        <v>6.6666666666666666E-2</v>
      </c>
    </row>
    <row r="15" spans="1:10" x14ac:dyDescent="0.35">
      <c r="A15" s="5" t="s">
        <v>911</v>
      </c>
      <c r="B15" s="5" t="s">
        <v>912</v>
      </c>
      <c r="C15" s="5" t="s">
        <v>913</v>
      </c>
      <c r="D15" s="5">
        <f t="shared" ref="D15:I15" si="4">D6+D10+D14</f>
        <v>61</v>
      </c>
      <c r="E15" s="5">
        <f t="shared" si="4"/>
        <v>35</v>
      </c>
      <c r="F15" s="5">
        <f t="shared" si="4"/>
        <v>26</v>
      </c>
      <c r="G15" s="5">
        <f t="shared" si="4"/>
        <v>22</v>
      </c>
      <c r="H15" s="5">
        <f t="shared" si="4"/>
        <v>1</v>
      </c>
      <c r="I15" s="5">
        <f t="shared" si="4"/>
        <v>38</v>
      </c>
      <c r="J15" s="6">
        <f t="shared" si="0"/>
        <v>0.36065573770491804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2"/>
  <sheetViews>
    <sheetView zoomScaleNormal="100" workbookViewId="0"/>
  </sheetViews>
  <sheetFormatPr defaultColWidth="8.6328125" defaultRowHeight="14.5" x14ac:dyDescent="0.35"/>
  <sheetData>
    <row r="1" spans="1:9" x14ac:dyDescent="0.35">
      <c r="A1" t="s">
        <v>914</v>
      </c>
      <c r="B1" t="s">
        <v>915</v>
      </c>
      <c r="C1" t="s">
        <v>2</v>
      </c>
      <c r="D1" t="s">
        <v>888</v>
      </c>
      <c r="E1" t="s">
        <v>3</v>
      </c>
      <c r="F1" t="s">
        <v>0</v>
      </c>
      <c r="G1" t="s">
        <v>916</v>
      </c>
      <c r="H1" t="s">
        <v>917</v>
      </c>
      <c r="I1" t="s">
        <v>722</v>
      </c>
    </row>
    <row r="2" spans="1:9" x14ac:dyDescent="0.35">
      <c r="A2" t="s">
        <v>918</v>
      </c>
      <c r="B2" t="s">
        <v>919</v>
      </c>
      <c r="C2" t="s">
        <v>22</v>
      </c>
      <c r="D2" t="s">
        <v>893</v>
      </c>
      <c r="E2" t="s">
        <v>23</v>
      </c>
      <c r="F2" t="s">
        <v>20</v>
      </c>
      <c r="G2" t="s">
        <v>24</v>
      </c>
      <c r="H2" t="s">
        <v>27</v>
      </c>
      <c r="I2" t="s">
        <v>33</v>
      </c>
    </row>
    <row r="3" spans="1:9" x14ac:dyDescent="0.35">
      <c r="A3" t="s">
        <v>918</v>
      </c>
      <c r="B3" t="s">
        <v>919</v>
      </c>
      <c r="C3" t="s">
        <v>22</v>
      </c>
      <c r="D3" t="s">
        <v>893</v>
      </c>
      <c r="E3" t="s">
        <v>23</v>
      </c>
      <c r="F3" t="s">
        <v>38</v>
      </c>
      <c r="G3" t="s">
        <v>39</v>
      </c>
      <c r="H3" t="s">
        <v>27</v>
      </c>
      <c r="I3" t="s">
        <v>33</v>
      </c>
    </row>
    <row r="4" spans="1:9" x14ac:dyDescent="0.35">
      <c r="A4" t="s">
        <v>918</v>
      </c>
      <c r="B4" t="s">
        <v>919</v>
      </c>
      <c r="C4" t="s">
        <v>22</v>
      </c>
      <c r="D4" t="s">
        <v>893</v>
      </c>
      <c r="E4" t="s">
        <v>46</v>
      </c>
      <c r="F4" t="s">
        <v>45</v>
      </c>
      <c r="G4" t="s">
        <v>47</v>
      </c>
      <c r="H4" t="s">
        <v>27</v>
      </c>
      <c r="I4" t="s">
        <v>33</v>
      </c>
    </row>
    <row r="5" spans="1:9" x14ac:dyDescent="0.35">
      <c r="A5" t="s">
        <v>918</v>
      </c>
      <c r="B5" t="s">
        <v>919</v>
      </c>
      <c r="C5" t="s">
        <v>22</v>
      </c>
      <c r="D5" t="s">
        <v>893</v>
      </c>
      <c r="E5" t="s">
        <v>46</v>
      </c>
      <c r="F5" t="s">
        <v>53</v>
      </c>
      <c r="G5" t="s">
        <v>54</v>
      </c>
      <c r="H5" t="s">
        <v>27</v>
      </c>
      <c r="I5" t="s">
        <v>33</v>
      </c>
    </row>
    <row r="6" spans="1:9" x14ac:dyDescent="0.35">
      <c r="A6" t="s">
        <v>918</v>
      </c>
      <c r="B6" t="s">
        <v>919</v>
      </c>
      <c r="C6" t="s">
        <v>22</v>
      </c>
      <c r="D6" t="s">
        <v>893</v>
      </c>
      <c r="E6" t="s">
        <v>62</v>
      </c>
      <c r="F6" t="s">
        <v>61</v>
      </c>
      <c r="G6" t="s">
        <v>63</v>
      </c>
      <c r="H6" t="s">
        <v>27</v>
      </c>
      <c r="I6" t="s">
        <v>33</v>
      </c>
    </row>
    <row r="7" spans="1:9" x14ac:dyDescent="0.35">
      <c r="A7" t="s">
        <v>918</v>
      </c>
      <c r="B7" t="s">
        <v>919</v>
      </c>
      <c r="C7" t="s">
        <v>22</v>
      </c>
      <c r="D7" t="s">
        <v>893</v>
      </c>
      <c r="E7" t="s">
        <v>71</v>
      </c>
      <c r="F7" t="s">
        <v>70</v>
      </c>
      <c r="G7" t="s">
        <v>72</v>
      </c>
      <c r="H7" t="s">
        <v>27</v>
      </c>
      <c r="I7" t="s">
        <v>77</v>
      </c>
    </row>
    <row r="8" spans="1:9" x14ac:dyDescent="0.35">
      <c r="A8" t="s">
        <v>918</v>
      </c>
      <c r="B8" t="s">
        <v>919</v>
      </c>
      <c r="C8" t="s">
        <v>22</v>
      </c>
      <c r="D8" t="s">
        <v>893</v>
      </c>
      <c r="E8" t="s">
        <v>82</v>
      </c>
      <c r="F8" t="s">
        <v>81</v>
      </c>
      <c r="G8" t="s">
        <v>83</v>
      </c>
      <c r="H8" t="s">
        <v>27</v>
      </c>
      <c r="I8" t="s">
        <v>33</v>
      </c>
    </row>
    <row r="9" spans="1:9" x14ac:dyDescent="0.35">
      <c r="A9" t="s">
        <v>918</v>
      </c>
      <c r="B9" t="s">
        <v>919</v>
      </c>
      <c r="C9" t="s">
        <v>90</v>
      </c>
      <c r="D9" t="s">
        <v>894</v>
      </c>
      <c r="E9" t="s">
        <v>91</v>
      </c>
      <c r="F9" t="s">
        <v>89</v>
      </c>
      <c r="G9" t="s">
        <v>92</v>
      </c>
      <c r="H9" t="s">
        <v>27</v>
      </c>
      <c r="I9" t="s">
        <v>33</v>
      </c>
    </row>
    <row r="10" spans="1:9" x14ac:dyDescent="0.35">
      <c r="A10" t="s">
        <v>918</v>
      </c>
      <c r="B10" t="s">
        <v>919</v>
      </c>
      <c r="C10" t="s">
        <v>102</v>
      </c>
      <c r="D10" t="s">
        <v>895</v>
      </c>
      <c r="E10" t="s">
        <v>103</v>
      </c>
      <c r="F10" t="s">
        <v>101</v>
      </c>
      <c r="G10" t="s">
        <v>104</v>
      </c>
      <c r="H10" t="s">
        <v>27</v>
      </c>
      <c r="I10" t="s">
        <v>33</v>
      </c>
    </row>
    <row r="11" spans="1:9" x14ac:dyDescent="0.35">
      <c r="A11" t="s">
        <v>918</v>
      </c>
      <c r="B11" t="s">
        <v>919</v>
      </c>
      <c r="C11" t="s">
        <v>102</v>
      </c>
      <c r="D11" t="s">
        <v>895</v>
      </c>
      <c r="E11" t="s">
        <v>112</v>
      </c>
      <c r="F11" t="s">
        <v>111</v>
      </c>
      <c r="G11" t="s">
        <v>113</v>
      </c>
      <c r="H11" t="s">
        <v>27</v>
      </c>
      <c r="I11" t="s">
        <v>33</v>
      </c>
    </row>
    <row r="12" spans="1:9" x14ac:dyDescent="0.35">
      <c r="A12" t="s">
        <v>918</v>
      </c>
      <c r="B12" t="s">
        <v>919</v>
      </c>
      <c r="C12" t="s">
        <v>102</v>
      </c>
      <c r="D12" t="s">
        <v>895</v>
      </c>
      <c r="E12" t="s">
        <v>121</v>
      </c>
      <c r="F12" t="s">
        <v>120</v>
      </c>
      <c r="G12" t="s">
        <v>122</v>
      </c>
      <c r="H12" t="s">
        <v>27</v>
      </c>
      <c r="I12" t="s">
        <v>33</v>
      </c>
    </row>
    <row r="13" spans="1:9" x14ac:dyDescent="0.35">
      <c r="A13" t="s">
        <v>918</v>
      </c>
      <c r="B13" t="s">
        <v>919</v>
      </c>
      <c r="C13" t="s">
        <v>130</v>
      </c>
      <c r="D13" t="s">
        <v>896</v>
      </c>
      <c r="E13" t="s">
        <v>131</v>
      </c>
      <c r="F13" t="s">
        <v>129</v>
      </c>
      <c r="G13" t="s">
        <v>132</v>
      </c>
      <c r="H13" t="s">
        <v>27</v>
      </c>
      <c r="I13" t="s">
        <v>33</v>
      </c>
    </row>
    <row r="14" spans="1:9" x14ac:dyDescent="0.35">
      <c r="A14" t="s">
        <v>151</v>
      </c>
      <c r="B14" t="s">
        <v>920</v>
      </c>
      <c r="C14" t="s">
        <v>141</v>
      </c>
      <c r="D14" t="s">
        <v>901</v>
      </c>
      <c r="E14" t="s">
        <v>142</v>
      </c>
      <c r="F14" t="s">
        <v>139</v>
      </c>
      <c r="G14" t="s">
        <v>143</v>
      </c>
      <c r="H14" t="s">
        <v>27</v>
      </c>
      <c r="I14" t="s">
        <v>33</v>
      </c>
    </row>
    <row r="15" spans="1:9" x14ac:dyDescent="0.35">
      <c r="A15" t="s">
        <v>151</v>
      </c>
      <c r="B15" t="s">
        <v>920</v>
      </c>
      <c r="C15" t="s">
        <v>141</v>
      </c>
      <c r="D15" t="s">
        <v>901</v>
      </c>
      <c r="E15" t="s">
        <v>153</v>
      </c>
      <c r="F15" t="s">
        <v>152</v>
      </c>
      <c r="G15" t="s">
        <v>154</v>
      </c>
      <c r="H15" t="s">
        <v>27</v>
      </c>
      <c r="I15" t="s">
        <v>33</v>
      </c>
    </row>
    <row r="16" spans="1:9" x14ac:dyDescent="0.35">
      <c r="A16" t="s">
        <v>151</v>
      </c>
      <c r="B16" t="s">
        <v>920</v>
      </c>
      <c r="C16" t="s">
        <v>141</v>
      </c>
      <c r="D16" t="s">
        <v>901</v>
      </c>
      <c r="E16" t="s">
        <v>162</v>
      </c>
      <c r="F16" t="s">
        <v>161</v>
      </c>
      <c r="G16" t="s">
        <v>163</v>
      </c>
      <c r="H16" t="s">
        <v>27</v>
      </c>
      <c r="I16" t="s">
        <v>33</v>
      </c>
    </row>
    <row r="17" spans="1:9" x14ac:dyDescent="0.35">
      <c r="A17" t="s">
        <v>151</v>
      </c>
      <c r="B17" t="s">
        <v>920</v>
      </c>
      <c r="C17" t="s">
        <v>141</v>
      </c>
      <c r="D17" t="s">
        <v>901</v>
      </c>
      <c r="E17" t="s">
        <v>171</v>
      </c>
      <c r="F17" t="s">
        <v>170</v>
      </c>
      <c r="G17" t="s">
        <v>172</v>
      </c>
      <c r="H17" t="s">
        <v>27</v>
      </c>
      <c r="I17" t="s">
        <v>33</v>
      </c>
    </row>
    <row r="18" spans="1:9" x14ac:dyDescent="0.35">
      <c r="A18" t="s">
        <v>151</v>
      </c>
      <c r="B18" t="s">
        <v>920</v>
      </c>
      <c r="C18" t="s">
        <v>141</v>
      </c>
      <c r="D18" t="s">
        <v>901</v>
      </c>
      <c r="E18" t="s">
        <v>181</v>
      </c>
      <c r="F18" t="s">
        <v>180</v>
      </c>
      <c r="G18" t="s">
        <v>182</v>
      </c>
      <c r="H18" t="s">
        <v>27</v>
      </c>
      <c r="I18" t="s">
        <v>33</v>
      </c>
    </row>
    <row r="19" spans="1:9" x14ac:dyDescent="0.35">
      <c r="A19" t="s">
        <v>151</v>
      </c>
      <c r="B19" t="s">
        <v>920</v>
      </c>
      <c r="C19" t="s">
        <v>190</v>
      </c>
      <c r="D19" t="s">
        <v>902</v>
      </c>
      <c r="E19" t="s">
        <v>191</v>
      </c>
      <c r="F19" t="s">
        <v>189</v>
      </c>
      <c r="G19" t="s">
        <v>192</v>
      </c>
      <c r="H19" t="s">
        <v>27</v>
      </c>
      <c r="I19" t="s">
        <v>33</v>
      </c>
    </row>
    <row r="20" spans="1:9" x14ac:dyDescent="0.35">
      <c r="A20" t="s">
        <v>151</v>
      </c>
      <c r="B20" t="s">
        <v>920</v>
      </c>
      <c r="C20" t="s">
        <v>190</v>
      </c>
      <c r="D20" t="s">
        <v>902</v>
      </c>
      <c r="E20" t="s">
        <v>202</v>
      </c>
      <c r="F20" t="s">
        <v>200</v>
      </c>
      <c r="G20" t="s">
        <v>203</v>
      </c>
      <c r="H20" t="s">
        <v>27</v>
      </c>
      <c r="I20" t="s">
        <v>33</v>
      </c>
    </row>
    <row r="21" spans="1:9" x14ac:dyDescent="0.35">
      <c r="A21" t="s">
        <v>921</v>
      </c>
      <c r="B21" t="s">
        <v>922</v>
      </c>
      <c r="C21" t="s">
        <v>211</v>
      </c>
      <c r="D21" t="s">
        <v>907</v>
      </c>
      <c r="E21" t="s">
        <v>212</v>
      </c>
      <c r="F21" t="s">
        <v>209</v>
      </c>
      <c r="G21" t="s">
        <v>213</v>
      </c>
      <c r="H21" t="s">
        <v>27</v>
      </c>
      <c r="I21" t="s">
        <v>33</v>
      </c>
    </row>
    <row r="22" spans="1:9" x14ac:dyDescent="0.35">
      <c r="A22" t="s">
        <v>151</v>
      </c>
      <c r="B22" t="s">
        <v>920</v>
      </c>
      <c r="C22" t="s">
        <v>223</v>
      </c>
      <c r="D22" t="s">
        <v>903</v>
      </c>
      <c r="E22" t="s">
        <v>224</v>
      </c>
      <c r="F22" t="s">
        <v>222</v>
      </c>
      <c r="G22" t="s">
        <v>225</v>
      </c>
      <c r="H22" t="s">
        <v>227</v>
      </c>
      <c r="I22" t="s">
        <v>232</v>
      </c>
    </row>
    <row r="23" spans="1:9" x14ac:dyDescent="0.35">
      <c r="A23" t="s">
        <v>151</v>
      </c>
      <c r="B23" t="s">
        <v>920</v>
      </c>
      <c r="C23" t="s">
        <v>223</v>
      </c>
      <c r="D23" t="s">
        <v>903</v>
      </c>
      <c r="E23" t="s">
        <v>237</v>
      </c>
      <c r="F23" t="s">
        <v>236</v>
      </c>
      <c r="G23" t="s">
        <v>238</v>
      </c>
      <c r="H23" t="s">
        <v>227</v>
      </c>
      <c r="I23" t="s">
        <v>232</v>
      </c>
    </row>
    <row r="24" spans="1:9" x14ac:dyDescent="0.35">
      <c r="A24" t="s">
        <v>151</v>
      </c>
      <c r="B24" t="s">
        <v>920</v>
      </c>
      <c r="C24" t="s">
        <v>223</v>
      </c>
      <c r="D24" t="s">
        <v>903</v>
      </c>
      <c r="E24" t="s">
        <v>247</v>
      </c>
      <c r="F24" t="s">
        <v>246</v>
      </c>
      <c r="G24" t="s">
        <v>248</v>
      </c>
      <c r="H24" t="s">
        <v>227</v>
      </c>
      <c r="I24" t="s">
        <v>232</v>
      </c>
    </row>
    <row r="25" spans="1:9" x14ac:dyDescent="0.35">
      <c r="A25" t="s">
        <v>151</v>
      </c>
      <c r="B25" t="s">
        <v>920</v>
      </c>
      <c r="C25" t="s">
        <v>223</v>
      </c>
      <c r="D25" t="s">
        <v>903</v>
      </c>
      <c r="E25" t="s">
        <v>257</v>
      </c>
      <c r="F25" t="s">
        <v>256</v>
      </c>
      <c r="G25" t="s">
        <v>258</v>
      </c>
      <c r="H25" t="s">
        <v>227</v>
      </c>
      <c r="I25" t="s">
        <v>232</v>
      </c>
    </row>
    <row r="26" spans="1:9" x14ac:dyDescent="0.35">
      <c r="A26" t="s">
        <v>921</v>
      </c>
      <c r="B26" t="s">
        <v>922</v>
      </c>
      <c r="C26" t="s">
        <v>267</v>
      </c>
      <c r="D26" t="s">
        <v>268</v>
      </c>
      <c r="E26" t="s">
        <v>268</v>
      </c>
      <c r="F26" t="s">
        <v>266</v>
      </c>
      <c r="G26" t="s">
        <v>269</v>
      </c>
      <c r="H26" t="s">
        <v>227</v>
      </c>
      <c r="I26" t="s">
        <v>232</v>
      </c>
    </row>
    <row r="27" spans="1:9" x14ac:dyDescent="0.35">
      <c r="A27" t="s">
        <v>921</v>
      </c>
      <c r="B27" t="s">
        <v>922</v>
      </c>
      <c r="C27" t="s">
        <v>267</v>
      </c>
      <c r="D27" t="s">
        <v>268</v>
      </c>
      <c r="E27" t="s">
        <v>268</v>
      </c>
      <c r="F27" t="s">
        <v>276</v>
      </c>
      <c r="G27" t="s">
        <v>277</v>
      </c>
      <c r="H27" t="s">
        <v>227</v>
      </c>
      <c r="I27" t="s">
        <v>232</v>
      </c>
    </row>
    <row r="28" spans="1:9" x14ac:dyDescent="0.35">
      <c r="A28" t="s">
        <v>921</v>
      </c>
      <c r="B28" t="s">
        <v>922</v>
      </c>
      <c r="C28" t="s">
        <v>267</v>
      </c>
      <c r="D28" t="s">
        <v>268</v>
      </c>
      <c r="E28" t="s">
        <v>284</v>
      </c>
      <c r="F28" t="s">
        <v>283</v>
      </c>
      <c r="G28" t="s">
        <v>285</v>
      </c>
      <c r="H28" t="s">
        <v>227</v>
      </c>
      <c r="I28" t="s">
        <v>232</v>
      </c>
    </row>
    <row r="29" spans="1:9" x14ac:dyDescent="0.35">
      <c r="A29" t="s">
        <v>921</v>
      </c>
      <c r="B29" t="s">
        <v>922</v>
      </c>
      <c r="C29" t="s">
        <v>293</v>
      </c>
      <c r="D29" t="s">
        <v>294</v>
      </c>
      <c r="E29" t="s">
        <v>294</v>
      </c>
      <c r="F29" t="s">
        <v>292</v>
      </c>
      <c r="G29" t="s">
        <v>295</v>
      </c>
      <c r="H29" t="s">
        <v>227</v>
      </c>
      <c r="I29" t="s">
        <v>232</v>
      </c>
    </row>
    <row r="30" spans="1:9" x14ac:dyDescent="0.35">
      <c r="A30" t="s">
        <v>151</v>
      </c>
      <c r="B30" t="s">
        <v>920</v>
      </c>
      <c r="C30" t="s">
        <v>141</v>
      </c>
      <c r="D30" t="s">
        <v>901</v>
      </c>
      <c r="E30" t="s">
        <v>302</v>
      </c>
      <c r="F30" t="s">
        <v>301</v>
      </c>
      <c r="G30" t="s">
        <v>303</v>
      </c>
      <c r="H30" t="s">
        <v>27</v>
      </c>
      <c r="I30" t="s">
        <v>33</v>
      </c>
    </row>
    <row r="31" spans="1:9" x14ac:dyDescent="0.35">
      <c r="A31" t="s">
        <v>151</v>
      </c>
      <c r="B31" t="s">
        <v>920</v>
      </c>
      <c r="C31" t="s">
        <v>141</v>
      </c>
      <c r="D31" t="s">
        <v>901</v>
      </c>
      <c r="E31" t="s">
        <v>314</v>
      </c>
      <c r="F31" t="s">
        <v>313</v>
      </c>
      <c r="G31" t="s">
        <v>315</v>
      </c>
      <c r="H31" t="s">
        <v>27</v>
      </c>
      <c r="I31" t="s">
        <v>33</v>
      </c>
    </row>
    <row r="32" spans="1:9" x14ac:dyDescent="0.35">
      <c r="A32" t="s">
        <v>151</v>
      </c>
      <c r="B32" t="s">
        <v>920</v>
      </c>
      <c r="C32" t="s">
        <v>190</v>
      </c>
      <c r="D32" t="s">
        <v>902</v>
      </c>
      <c r="E32" t="s">
        <v>322</v>
      </c>
      <c r="F32" t="s">
        <v>321</v>
      </c>
      <c r="G32" t="s">
        <v>323</v>
      </c>
      <c r="H32" t="s">
        <v>27</v>
      </c>
      <c r="I32" t="s">
        <v>33</v>
      </c>
    </row>
    <row r="33" spans="1:9" x14ac:dyDescent="0.35">
      <c r="A33" t="s">
        <v>151</v>
      </c>
      <c r="B33" t="s">
        <v>920</v>
      </c>
      <c r="C33" t="s">
        <v>223</v>
      </c>
      <c r="D33" t="s">
        <v>903</v>
      </c>
      <c r="E33" t="s">
        <v>332</v>
      </c>
      <c r="F33" t="s">
        <v>331</v>
      </c>
      <c r="G33" t="s">
        <v>333</v>
      </c>
      <c r="H33" t="s">
        <v>227</v>
      </c>
      <c r="I33" t="s">
        <v>232</v>
      </c>
    </row>
    <row r="34" spans="1:9" x14ac:dyDescent="0.35">
      <c r="A34" t="s">
        <v>151</v>
      </c>
      <c r="B34" t="s">
        <v>920</v>
      </c>
      <c r="C34" t="s">
        <v>223</v>
      </c>
      <c r="D34" t="s">
        <v>903</v>
      </c>
      <c r="E34" t="s">
        <v>342</v>
      </c>
      <c r="F34" t="s">
        <v>341</v>
      </c>
      <c r="G34" t="s">
        <v>343</v>
      </c>
      <c r="H34" t="s">
        <v>227</v>
      </c>
      <c r="I34" t="s">
        <v>232</v>
      </c>
    </row>
    <row r="35" spans="1:9" x14ac:dyDescent="0.35">
      <c r="A35" t="s">
        <v>921</v>
      </c>
      <c r="B35" t="s">
        <v>922</v>
      </c>
      <c r="C35" t="s">
        <v>267</v>
      </c>
      <c r="D35" t="s">
        <v>268</v>
      </c>
      <c r="E35" t="s">
        <v>350</v>
      </c>
      <c r="F35" t="s">
        <v>349</v>
      </c>
      <c r="G35" t="s">
        <v>351</v>
      </c>
      <c r="H35" t="s">
        <v>227</v>
      </c>
      <c r="I35" t="s">
        <v>232</v>
      </c>
    </row>
    <row r="36" spans="1:9" x14ac:dyDescent="0.35">
      <c r="A36" t="s">
        <v>921</v>
      </c>
      <c r="B36" t="s">
        <v>922</v>
      </c>
      <c r="C36" t="s">
        <v>267</v>
      </c>
      <c r="D36" t="s">
        <v>268</v>
      </c>
      <c r="E36" t="s">
        <v>358</v>
      </c>
      <c r="F36" t="s">
        <v>357</v>
      </c>
      <c r="G36" t="s">
        <v>359</v>
      </c>
      <c r="H36" t="s">
        <v>227</v>
      </c>
      <c r="I36" t="s">
        <v>232</v>
      </c>
    </row>
    <row r="37" spans="1:9" x14ac:dyDescent="0.35">
      <c r="A37" t="s">
        <v>921</v>
      </c>
      <c r="B37" t="s">
        <v>922</v>
      </c>
      <c r="C37" t="s">
        <v>293</v>
      </c>
      <c r="D37" t="s">
        <v>294</v>
      </c>
      <c r="E37" t="s">
        <v>366</v>
      </c>
      <c r="F37" t="s">
        <v>365</v>
      </c>
      <c r="G37" t="s">
        <v>367</v>
      </c>
      <c r="H37" t="s">
        <v>227</v>
      </c>
      <c r="I37" t="s">
        <v>232</v>
      </c>
    </row>
    <row r="38" spans="1:9" x14ac:dyDescent="0.35">
      <c r="A38" t="s">
        <v>918</v>
      </c>
      <c r="B38" t="s">
        <v>919</v>
      </c>
      <c r="C38" t="s">
        <v>22</v>
      </c>
      <c r="D38" t="s">
        <v>893</v>
      </c>
      <c r="E38" t="s">
        <v>374</v>
      </c>
      <c r="F38" t="s">
        <v>373</v>
      </c>
      <c r="G38" t="s">
        <v>375</v>
      </c>
      <c r="H38" t="s">
        <v>27</v>
      </c>
      <c r="I38" t="s">
        <v>232</v>
      </c>
    </row>
    <row r="39" spans="1:9" x14ac:dyDescent="0.35">
      <c r="A39" t="s">
        <v>918</v>
      </c>
      <c r="B39" t="s">
        <v>919</v>
      </c>
      <c r="C39" t="s">
        <v>22</v>
      </c>
      <c r="D39" t="s">
        <v>893</v>
      </c>
      <c r="E39" t="s">
        <v>383</v>
      </c>
      <c r="F39" t="s">
        <v>382</v>
      </c>
      <c r="G39" t="s">
        <v>384</v>
      </c>
      <c r="H39" t="s">
        <v>27</v>
      </c>
      <c r="I39" t="s">
        <v>232</v>
      </c>
    </row>
    <row r="40" spans="1:9" x14ac:dyDescent="0.35">
      <c r="A40" t="s">
        <v>918</v>
      </c>
      <c r="B40" t="s">
        <v>919</v>
      </c>
      <c r="C40" t="s">
        <v>22</v>
      </c>
      <c r="D40" t="s">
        <v>893</v>
      </c>
      <c r="E40" t="s">
        <v>391</v>
      </c>
      <c r="F40" t="s">
        <v>390</v>
      </c>
      <c r="G40" t="s">
        <v>392</v>
      </c>
      <c r="H40" t="s">
        <v>27</v>
      </c>
      <c r="I40" t="s">
        <v>232</v>
      </c>
    </row>
    <row r="41" spans="1:9" x14ac:dyDescent="0.35">
      <c r="A41" t="s">
        <v>918</v>
      </c>
      <c r="B41" t="s">
        <v>919</v>
      </c>
      <c r="C41" t="s">
        <v>22</v>
      </c>
      <c r="D41" t="s">
        <v>893</v>
      </c>
      <c r="E41" t="s">
        <v>398</v>
      </c>
      <c r="F41" t="s">
        <v>397</v>
      </c>
      <c r="G41" t="s">
        <v>399</v>
      </c>
      <c r="H41" t="s">
        <v>27</v>
      </c>
      <c r="I41" t="s">
        <v>232</v>
      </c>
    </row>
    <row r="42" spans="1:9" x14ac:dyDescent="0.35">
      <c r="A42" t="s">
        <v>918</v>
      </c>
      <c r="B42" t="s">
        <v>919</v>
      </c>
      <c r="C42" t="s">
        <v>130</v>
      </c>
      <c r="D42" t="s">
        <v>896</v>
      </c>
      <c r="E42" t="s">
        <v>405</v>
      </c>
      <c r="F42" t="s">
        <v>404</v>
      </c>
      <c r="G42" t="s">
        <v>406</v>
      </c>
      <c r="H42" t="s">
        <v>27</v>
      </c>
      <c r="I42" t="s">
        <v>232</v>
      </c>
    </row>
    <row r="43" spans="1:9" x14ac:dyDescent="0.35">
      <c r="A43" t="s">
        <v>918</v>
      </c>
      <c r="B43" t="s">
        <v>919</v>
      </c>
      <c r="C43" t="s">
        <v>22</v>
      </c>
      <c r="D43" t="s">
        <v>893</v>
      </c>
      <c r="E43" t="s">
        <v>413</v>
      </c>
      <c r="F43" t="s">
        <v>412</v>
      </c>
      <c r="G43" t="s">
        <v>414</v>
      </c>
      <c r="H43" t="s">
        <v>27</v>
      </c>
      <c r="I43" t="s">
        <v>232</v>
      </c>
    </row>
    <row r="44" spans="1:9" x14ac:dyDescent="0.35">
      <c r="A44" t="s">
        <v>918</v>
      </c>
      <c r="B44" t="s">
        <v>919</v>
      </c>
      <c r="C44" t="s">
        <v>102</v>
      </c>
      <c r="D44" t="s">
        <v>895</v>
      </c>
      <c r="E44" t="s">
        <v>422</v>
      </c>
      <c r="F44" t="s">
        <v>421</v>
      </c>
      <c r="G44" t="s">
        <v>423</v>
      </c>
      <c r="H44" t="s">
        <v>27</v>
      </c>
      <c r="I44" t="s">
        <v>232</v>
      </c>
    </row>
    <row r="45" spans="1:9" x14ac:dyDescent="0.35">
      <c r="A45" t="s">
        <v>918</v>
      </c>
      <c r="B45" t="s">
        <v>919</v>
      </c>
      <c r="C45" t="s">
        <v>102</v>
      </c>
      <c r="D45" t="s">
        <v>895</v>
      </c>
      <c r="E45" t="s">
        <v>430</v>
      </c>
      <c r="F45" t="s">
        <v>429</v>
      </c>
      <c r="G45" t="s">
        <v>431</v>
      </c>
      <c r="H45" t="s">
        <v>227</v>
      </c>
      <c r="I45" t="s">
        <v>232</v>
      </c>
    </row>
    <row r="46" spans="1:9" x14ac:dyDescent="0.35">
      <c r="A46" t="s">
        <v>151</v>
      </c>
      <c r="B46" t="s">
        <v>920</v>
      </c>
      <c r="C46" t="s">
        <v>223</v>
      </c>
      <c r="D46" t="s">
        <v>903</v>
      </c>
      <c r="E46" t="s">
        <v>439</v>
      </c>
      <c r="F46" t="s">
        <v>438</v>
      </c>
      <c r="G46" t="s">
        <v>440</v>
      </c>
      <c r="H46" t="s">
        <v>227</v>
      </c>
      <c r="I46" t="s">
        <v>232</v>
      </c>
    </row>
    <row r="47" spans="1:9" x14ac:dyDescent="0.35">
      <c r="A47" t="s">
        <v>151</v>
      </c>
      <c r="B47" t="s">
        <v>920</v>
      </c>
      <c r="C47" t="s">
        <v>223</v>
      </c>
      <c r="D47" t="s">
        <v>903</v>
      </c>
      <c r="E47" t="s">
        <v>447</v>
      </c>
      <c r="F47" t="s">
        <v>446</v>
      </c>
      <c r="G47" t="s">
        <v>448</v>
      </c>
      <c r="H47" t="s">
        <v>227</v>
      </c>
      <c r="I47" t="s">
        <v>232</v>
      </c>
    </row>
    <row r="48" spans="1:9" x14ac:dyDescent="0.35">
      <c r="A48" t="s">
        <v>151</v>
      </c>
      <c r="B48" t="s">
        <v>920</v>
      </c>
      <c r="C48" t="s">
        <v>223</v>
      </c>
      <c r="D48" t="s">
        <v>903</v>
      </c>
      <c r="E48" t="s">
        <v>455</v>
      </c>
      <c r="F48" t="s">
        <v>454</v>
      </c>
      <c r="G48" t="s">
        <v>456</v>
      </c>
      <c r="H48" t="s">
        <v>27</v>
      </c>
      <c r="I48" t="s">
        <v>232</v>
      </c>
    </row>
    <row r="49" spans="1:9" x14ac:dyDescent="0.35">
      <c r="A49" t="s">
        <v>151</v>
      </c>
      <c r="B49" t="s">
        <v>920</v>
      </c>
      <c r="C49" t="s">
        <v>223</v>
      </c>
      <c r="D49" t="s">
        <v>903</v>
      </c>
      <c r="E49" t="s">
        <v>463</v>
      </c>
      <c r="F49" t="s">
        <v>462</v>
      </c>
      <c r="G49" t="s">
        <v>464</v>
      </c>
      <c r="H49" t="s">
        <v>27</v>
      </c>
      <c r="I49" t="s">
        <v>232</v>
      </c>
    </row>
    <row r="50" spans="1:9" x14ac:dyDescent="0.35">
      <c r="A50" t="s">
        <v>151</v>
      </c>
      <c r="B50" t="s">
        <v>920</v>
      </c>
      <c r="C50" t="s">
        <v>223</v>
      </c>
      <c r="D50" t="s">
        <v>903</v>
      </c>
      <c r="E50" t="s">
        <v>470</v>
      </c>
      <c r="F50" t="s">
        <v>469</v>
      </c>
      <c r="G50" t="s">
        <v>471</v>
      </c>
      <c r="H50" t="s">
        <v>227</v>
      </c>
      <c r="I50" t="s">
        <v>232</v>
      </c>
    </row>
    <row r="51" spans="1:9" x14ac:dyDescent="0.35">
      <c r="A51" t="s">
        <v>151</v>
      </c>
      <c r="B51" t="s">
        <v>920</v>
      </c>
      <c r="C51" t="s">
        <v>190</v>
      </c>
      <c r="D51" t="s">
        <v>902</v>
      </c>
      <c r="E51" t="s">
        <v>477</v>
      </c>
      <c r="F51" t="s">
        <v>476</v>
      </c>
      <c r="G51" t="s">
        <v>478</v>
      </c>
      <c r="H51" t="s">
        <v>27</v>
      </c>
      <c r="I51" t="s">
        <v>232</v>
      </c>
    </row>
    <row r="52" spans="1:9" x14ac:dyDescent="0.35">
      <c r="A52" t="s">
        <v>151</v>
      </c>
      <c r="B52" t="s">
        <v>920</v>
      </c>
      <c r="C52" t="s">
        <v>223</v>
      </c>
      <c r="D52" t="s">
        <v>903</v>
      </c>
      <c r="E52" t="s">
        <v>486</v>
      </c>
      <c r="F52" t="s">
        <v>485</v>
      </c>
      <c r="G52" t="s">
        <v>487</v>
      </c>
      <c r="H52" t="s">
        <v>227</v>
      </c>
      <c r="I52" t="s">
        <v>232</v>
      </c>
    </row>
    <row r="53" spans="1:9" x14ac:dyDescent="0.35">
      <c r="A53" t="s">
        <v>151</v>
      </c>
      <c r="B53" t="s">
        <v>920</v>
      </c>
      <c r="C53" t="s">
        <v>223</v>
      </c>
      <c r="D53" t="s">
        <v>903</v>
      </c>
      <c r="E53" t="s">
        <v>494</v>
      </c>
      <c r="F53" t="s">
        <v>493</v>
      </c>
      <c r="G53" t="s">
        <v>495</v>
      </c>
      <c r="H53" t="s">
        <v>227</v>
      </c>
      <c r="I53" t="s">
        <v>232</v>
      </c>
    </row>
    <row r="54" spans="1:9" x14ac:dyDescent="0.35">
      <c r="A54" t="s">
        <v>151</v>
      </c>
      <c r="B54" t="s">
        <v>920</v>
      </c>
      <c r="C54" t="s">
        <v>223</v>
      </c>
      <c r="D54" t="s">
        <v>903</v>
      </c>
      <c r="E54" t="s">
        <v>502</v>
      </c>
      <c r="F54" t="s">
        <v>501</v>
      </c>
      <c r="G54" t="s">
        <v>503</v>
      </c>
      <c r="H54" t="s">
        <v>227</v>
      </c>
      <c r="I54" t="s">
        <v>232</v>
      </c>
    </row>
    <row r="55" spans="1:9" x14ac:dyDescent="0.35">
      <c r="A55" t="s">
        <v>151</v>
      </c>
      <c r="B55" t="s">
        <v>920</v>
      </c>
      <c r="C55" t="s">
        <v>223</v>
      </c>
      <c r="D55" t="s">
        <v>903</v>
      </c>
      <c r="E55" t="s">
        <v>511</v>
      </c>
      <c r="F55" t="s">
        <v>510</v>
      </c>
      <c r="G55" t="s">
        <v>512</v>
      </c>
      <c r="H55" t="s">
        <v>227</v>
      </c>
      <c r="I55" t="s">
        <v>232</v>
      </c>
    </row>
    <row r="56" spans="1:9" x14ac:dyDescent="0.35">
      <c r="A56" t="s">
        <v>921</v>
      </c>
      <c r="B56" t="s">
        <v>922</v>
      </c>
      <c r="C56" t="s">
        <v>267</v>
      </c>
      <c r="D56" t="s">
        <v>268</v>
      </c>
      <c r="E56" t="s">
        <v>521</v>
      </c>
      <c r="F56" t="s">
        <v>520</v>
      </c>
      <c r="G56" t="s">
        <v>522</v>
      </c>
      <c r="H56" t="s">
        <v>227</v>
      </c>
      <c r="I56" t="s">
        <v>232</v>
      </c>
    </row>
    <row r="57" spans="1:9" x14ac:dyDescent="0.35">
      <c r="A57" t="s">
        <v>921</v>
      </c>
      <c r="B57" t="s">
        <v>922</v>
      </c>
      <c r="C57" t="s">
        <v>267</v>
      </c>
      <c r="D57" t="s">
        <v>268</v>
      </c>
      <c r="E57" t="s">
        <v>529</v>
      </c>
      <c r="F57" t="s">
        <v>528</v>
      </c>
      <c r="G57" t="s">
        <v>530</v>
      </c>
      <c r="H57" t="s">
        <v>227</v>
      </c>
      <c r="I57" t="s">
        <v>232</v>
      </c>
    </row>
    <row r="58" spans="1:9" x14ac:dyDescent="0.35">
      <c r="A58" t="s">
        <v>921</v>
      </c>
      <c r="B58" t="s">
        <v>922</v>
      </c>
      <c r="C58" t="s">
        <v>267</v>
      </c>
      <c r="D58" t="s">
        <v>268</v>
      </c>
      <c r="E58" t="s">
        <v>538</v>
      </c>
      <c r="F58" t="s">
        <v>537</v>
      </c>
      <c r="G58" t="s">
        <v>539</v>
      </c>
      <c r="H58" t="s">
        <v>27</v>
      </c>
      <c r="I58" t="s">
        <v>232</v>
      </c>
    </row>
    <row r="59" spans="1:9" x14ac:dyDescent="0.35">
      <c r="A59" t="s">
        <v>921</v>
      </c>
      <c r="B59" t="s">
        <v>922</v>
      </c>
      <c r="C59" t="s">
        <v>293</v>
      </c>
      <c r="D59" t="s">
        <v>294</v>
      </c>
      <c r="E59" t="s">
        <v>545</v>
      </c>
      <c r="F59" t="s">
        <v>544</v>
      </c>
      <c r="G59" t="s">
        <v>546</v>
      </c>
      <c r="H59" t="s">
        <v>227</v>
      </c>
      <c r="I59" t="s">
        <v>232</v>
      </c>
    </row>
    <row r="60" spans="1:9" x14ac:dyDescent="0.35">
      <c r="A60" t="s">
        <v>921</v>
      </c>
      <c r="B60" t="s">
        <v>922</v>
      </c>
      <c r="C60" t="s">
        <v>267</v>
      </c>
      <c r="D60" t="s">
        <v>268</v>
      </c>
      <c r="E60" t="s">
        <v>553</v>
      </c>
      <c r="F60" t="s">
        <v>552</v>
      </c>
      <c r="G60" t="s">
        <v>554</v>
      </c>
      <c r="H60" t="s">
        <v>227</v>
      </c>
      <c r="I60" t="s">
        <v>232</v>
      </c>
    </row>
    <row r="61" spans="1:9" x14ac:dyDescent="0.35">
      <c r="A61" t="s">
        <v>921</v>
      </c>
      <c r="B61" t="s">
        <v>922</v>
      </c>
      <c r="C61" t="s">
        <v>267</v>
      </c>
      <c r="D61" t="s">
        <v>268</v>
      </c>
      <c r="E61" t="s">
        <v>561</v>
      </c>
      <c r="F61" t="s">
        <v>560</v>
      </c>
      <c r="G61" t="s">
        <v>562</v>
      </c>
      <c r="H61" t="s">
        <v>227</v>
      </c>
      <c r="I61" t="s">
        <v>232</v>
      </c>
    </row>
    <row r="62" spans="1:9" x14ac:dyDescent="0.35">
      <c r="A62" t="s">
        <v>921</v>
      </c>
      <c r="B62" t="s">
        <v>922</v>
      </c>
      <c r="C62" t="s">
        <v>293</v>
      </c>
      <c r="D62" t="s">
        <v>294</v>
      </c>
      <c r="E62" t="s">
        <v>570</v>
      </c>
      <c r="F62" t="s">
        <v>569</v>
      </c>
      <c r="G62" t="s">
        <v>571</v>
      </c>
      <c r="H62" t="s">
        <v>27</v>
      </c>
      <c r="I62" t="s">
        <v>232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cp:revision>0</cp:revision>
  <dcterms:created xsi:type="dcterms:W3CDTF">2026-09-24T10:29:59Z</dcterms:created>
  <dcterms:modified xsi:type="dcterms:W3CDTF">2026-10-08T03:22:45Z</dcterms:modified>
  <dc:language>en-US</dc:language>
</cp:coreProperties>
</file>