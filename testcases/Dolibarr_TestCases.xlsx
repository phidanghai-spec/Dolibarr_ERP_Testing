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EF1EAD9D-64E1-48D1-B499-B13ECC2AB909}" xr6:coauthVersionLast="47" xr6:coauthVersionMax="47" xr10:uidLastSave="{00000000-0000-0000-0000-000000000000}"/>
  <bookViews>
    <workbookView xWindow="2090" yWindow="1060" windowWidth="14400" windowHeight="7360" tabRatio="50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13" i="5" l="1"/>
  <c r="H13" i="5"/>
  <c r="G13" i="5"/>
  <c r="F13" i="5"/>
  <c r="E13" i="5"/>
  <c r="D13" i="5"/>
  <c r="J13" i="5" s="1"/>
  <c r="I12" i="5"/>
  <c r="H12" i="5"/>
  <c r="G12" i="5"/>
  <c r="F12" i="5"/>
  <c r="E12" i="5"/>
  <c r="D12" i="5"/>
  <c r="I11" i="5"/>
  <c r="I14" i="5" s="1"/>
  <c r="H11" i="5"/>
  <c r="H14" i="5" s="1"/>
  <c r="G11" i="5"/>
  <c r="G14" i="5" s="1"/>
  <c r="F11" i="5"/>
  <c r="F14" i="5" s="1"/>
  <c r="E11" i="5"/>
  <c r="E14" i="5" s="1"/>
  <c r="D11" i="5"/>
  <c r="I9" i="5"/>
  <c r="H9" i="5"/>
  <c r="G9" i="5"/>
  <c r="J9" i="5" s="1"/>
  <c r="F9" i="5"/>
  <c r="E9" i="5"/>
  <c r="D9" i="5"/>
  <c r="I8" i="5"/>
  <c r="H8" i="5"/>
  <c r="G8" i="5"/>
  <c r="F8" i="5"/>
  <c r="E8" i="5"/>
  <c r="D8" i="5"/>
  <c r="I7" i="5"/>
  <c r="I10" i="5" s="1"/>
  <c r="H7" i="5"/>
  <c r="H10" i="5" s="1"/>
  <c r="G7" i="5"/>
  <c r="G10" i="5" s="1"/>
  <c r="F7" i="5"/>
  <c r="F10" i="5" s="1"/>
  <c r="E7" i="5"/>
  <c r="E10" i="5" s="1"/>
  <c r="D7" i="5"/>
  <c r="I5" i="5"/>
  <c r="H5" i="5"/>
  <c r="G5" i="5"/>
  <c r="F5" i="5"/>
  <c r="E5" i="5"/>
  <c r="D5" i="5"/>
  <c r="J5" i="5" s="1"/>
  <c r="I4" i="5"/>
  <c r="H4" i="5"/>
  <c r="G4" i="5"/>
  <c r="F4" i="5"/>
  <c r="E4" i="5"/>
  <c r="D4" i="5"/>
  <c r="I3" i="5"/>
  <c r="H3" i="5"/>
  <c r="G3" i="5"/>
  <c r="F3" i="5"/>
  <c r="E3" i="5"/>
  <c r="D3" i="5"/>
  <c r="J3" i="5" s="1"/>
  <c r="I2" i="5"/>
  <c r="H2" i="5"/>
  <c r="H6" i="5" s="1"/>
  <c r="H15" i="5" s="1"/>
  <c r="G2" i="5"/>
  <c r="J2" i="5" s="1"/>
  <c r="F2" i="5"/>
  <c r="E2" i="5"/>
  <c r="D2" i="5"/>
  <c r="D6" i="5" s="1"/>
  <c r="E6" i="5" l="1"/>
  <c r="E15" i="5" s="1"/>
  <c r="I6" i="5"/>
  <c r="I15" i="5" s="1"/>
  <c r="J7" i="5"/>
  <c r="J12" i="5"/>
  <c r="F6" i="5"/>
  <c r="F15" i="5" s="1"/>
  <c r="J8" i="5"/>
  <c r="J11" i="5"/>
  <c r="J4" i="5"/>
  <c r="G6" i="5"/>
  <c r="G15" i="5" s="1"/>
  <c r="D10" i="5"/>
  <c r="J10" i="5" s="1"/>
  <c r="D14" i="5"/>
  <c r="J14" i="5" s="1"/>
  <c r="J6" i="5" l="1"/>
  <c r="D15" i="5"/>
  <c r="J15" i="5" s="1"/>
</calcChain>
</file>

<file path=xl/sharedStrings.xml><?xml version="1.0" encoding="utf-8"?>
<sst xmlns="http://schemas.openxmlformats.org/spreadsheetml/2006/main" count="1415" uniqueCount="684">
  <si>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</si>
  <si>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</si>
  <si>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</si>
  <si>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</si>
  <si>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</si>
  <si>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</si>
  <si>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</si>
  <si>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</si>
  <si>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</si>
  <si>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</si>
  <si>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</si>
  <si>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</si>
  <si>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</si>
  <si>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</si>
  <si>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</si>
  <si>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</si>
  <si>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</si>
  <si>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</si>
  <si>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</si>
  <si>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Kết quả script tham khảo (không phải nghiệm thu)</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</si>
  <si>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</si>
  <si>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</si>
  <si>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</si>
  <si>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</si>
  <si>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</si>
  <si>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</si>
  <si>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</si>
  <si>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</si>
  <si>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</si>
  <si>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</si>
  <si>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</si>
  <si>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</si>
  <si>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</si>
  <si>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</si>
  <si>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2026-10-07</t>
  </si>
  <si>
    <t>evidence/automation/TC_CRM_005.png; docs/test_run_acceptance_20261007.log</t>
  </si>
  <si>
    <t>Chạy trên mốc sạch dolibarr_clean, ngày 2026-10-07, tuần tự (DoNotParallelize)</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</si>
  <si>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</si>
  <si>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</si>
  <si>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</si>
  <si>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</si>
  <si>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</si>
  <si>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</si>
  <si>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</si>
  <si>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 docs/test_run_acceptance_20261007.log</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</si>
  <si>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</si>
  <si>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</si>
  <si>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</si>
  <si>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</si>
  <si>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</si>
  <si>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</si>
  <si>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</si>
  <si>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 docs/test_run_acceptance_20261007.log</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</si>
  <si>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</si>
  <si>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</si>
  <si>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</si>
  <si>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</si>
  <si>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</si>
  <si>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</si>
  <si>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</si>
  <si>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 docs/test_run_acceptance_20261007.log</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</si>
  <si>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</si>
  <si>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</si>
  <si>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</si>
  <si>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</si>
  <si>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</si>
  <si>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</si>
  <si>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</si>
  <si>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</si>
  <si>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 docs/test_run_acceptance_20261007.log</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</si>
  <si>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</si>
  <si>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</si>
  <si>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</si>
  <si>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</si>
  <si>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</si>
  <si>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</si>
  <si>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</si>
  <si>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</si>
  <si>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evidence/automation/TC_CRM_010_fail_bug001.png; docs/test_run_acceptance_20261007.log</t>
  </si>
  <si>
    <t>BUG_001</t>
  </si>
  <si>
    <t>Chạy trên mốc sạch dolibarr_clean, ngày 2026-10-07, tuần tự (DoNotParallelize). Bắt đúng BUG_001.</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</si>
  <si>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</si>
  <si>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</si>
  <si>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</si>
  <si>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</si>
  <si>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</si>
  <si>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</si>
  <si>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</si>
  <si>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 docs/test_run_acceptance_20261007.log</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</si>
  <si>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</si>
  <si>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</si>
  <si>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</si>
  <si>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</si>
  <si>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</si>
  <si>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</si>
  <si>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</si>
  <si>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</si>
  <si>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</si>
  <si>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</si>
  <si>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 docs/test_run_acceptance_20261007.log</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</si>
  <si>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</si>
  <si>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</si>
  <si>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</si>
  <si>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</si>
  <si>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</si>
  <si>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</si>
  <si>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</si>
  <si>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</si>
  <si>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</si>
  <si>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</si>
  <si>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 docs/test_run_acceptance_20261007.log</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</si>
  <si>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</si>
  <si>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</si>
  <si>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</si>
  <si>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</si>
  <si>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</si>
  <si>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</si>
  <si>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</si>
  <si>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</si>
  <si>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 docs/test_run_acceptance_20261007.log</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</si>
  <si>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</si>
  <si>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</si>
  <si>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</si>
  <si>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</si>
  <si>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</si>
  <si>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</si>
  <si>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</si>
  <si>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</si>
  <si>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 docs/test_run_acceptance_20261007.log</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</si>
  <si>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</si>
  <si>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</si>
  <si>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</si>
  <si>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</si>
  <si>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</si>
  <si>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</si>
  <si>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</si>
  <si>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</si>
  <si>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</si>
  <si>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 docs/test_run_acceptance_20261007.log</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</si>
  <si>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</si>
  <si>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</si>
  <si>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</si>
  <si>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</si>
  <si>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</si>
  <si>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</si>
  <si>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</si>
  <si>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</si>
  <si>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</si>
  <si>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</si>
  <si>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</si>
  <si>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evidence/automation/sales/TC_SAL_001_CreateDraftProposal_ShouldSucceed_2026-10-07_16-01-19.png; docs/test_run_acceptance_20261007.log</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</si>
  <si>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</si>
  <si>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</si>
  <si>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</si>
  <si>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</si>
  <si>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</si>
  <si>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</si>
  <si>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</si>
  <si>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</si>
  <si>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</si>
  <si>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evidence/automation/sales/TC_SAL_002_AddProductLine_ShouldCalculateCorrectTotal_2026-10-07_16-01-26.png; docs/test_run_acceptance_20261007.log</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</si>
  <si>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</si>
  <si>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</si>
  <si>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</si>
  <si>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</si>
  <si>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</si>
  <si>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</si>
  <si>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</si>
  <si>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</si>
  <si>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evidence/automation/sales/TC_SAL_003_AddMultipleProducts_ShouldCalculateCumulativeTotal_2026-10-07_16-01-37.png; docs/test_run_acceptance_20261007.log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</si>
  <si>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</si>
  <si>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</si>
  <si>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</si>
  <si>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</si>
  <si>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</si>
  <si>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</si>
  <si>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</si>
  <si>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</si>
  <si>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</si>
  <si>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evidence/automation/sales/TC_SAL_004_ValidateProposal_ShouldChangeStatusToOpen_2026-10-07_16-02-01.png; docs/test_run_acceptance_20261007.log</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</si>
  <si>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</si>
  <si>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</si>
  <si>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</si>
  <si>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</si>
  <si>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</si>
  <si>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</si>
  <si>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</si>
  <si>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</si>
  <si>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evidence/automation/sales/TC_SAL_005_CloseProposalAsSigned_ShouldUpdateStatus_2026-10-07_16-02-25.png; docs/test_run_acceptance_20261007.log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</si>
  <si>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</si>
  <si>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</si>
  <si>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</si>
  <si>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</si>
  <si>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</si>
  <si>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</si>
  <si>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</si>
  <si>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</si>
  <si>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</si>
  <si>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evidence/automation/sales/TC_SAL_006_CreateInvoiceFromSignedProposal_ShouldInheritTotal_2026-10-07_16-02-51.png; docs/test_run_acceptance_20261007.log</t>
  </si>
  <si>
    <t>Chạy trên mốc sạch dolibarr_clean, ngày 2026-10-07, tuần tự (DoNotParallelize). Khắc phục triệt để race condition.</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</si>
  <si>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</si>
  <si>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</si>
  <si>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</si>
  <si>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</si>
  <si>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</si>
  <si>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</si>
  <si>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</si>
  <si>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</si>
  <si>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evidence/automation/sales/TC_SAL_007_ValidateInvoice_ShouldChangeStatusToUnpaid_2026-10-07_16-03-18.png; docs/test_run_acceptance_20261007.log</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</si>
  <si>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</si>
  <si>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</si>
  <si>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</si>
  <si>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</si>
  <si>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</si>
  <si>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</si>
  <si>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</si>
  <si>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</si>
  <si>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</si>
  <si>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</si>
  <si>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</si>
  <si>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evidence/automation/sales/TC_SAL_008_ValidateInvoice_ShouldDecreaseProductStock_2026-10-07_16-03-52.png; docs/test_run_acceptance_20261007.log</t>
  </si>
  <si>
    <t>UC-01 / UC-03</t>
  </si>
  <si>
    <t>TC_SAL_009</t>
  </si>
  <si>
    <t>F-SAL-03</t>
  </si>
  <si>
    <t>Xử lý hóa đơn đặc biệt -- Hủy hóa đơn (Abandon/Cancel)</t>
  </si>
  <si>
    <t>Hủy hóa đơn khách hàng ở trạng thái Chưa thanh toán (Unpaid)</t>
  </si>
  <si>
    <t>State Transition (ST)</t>
  </si>
  <si>
    <t>Manual</t>
  </si>
  <si>
    <t>Hóa đơn bán hàng chuẩn đã được xác thực (Validated), trạng thái "Not paid" (Unpaid), chưa ghi nhận bất kỳ khoản thanh toán nào. Ví dụ hóa đơn lập cho Cong ty ABC gồm 1 cái PR001, tổng thanh toán Total TTC = 110.00 €. NẾU hóa đơn này chưa có sẵn trên hệ thống (do DB vừa được restore về mốc sạch), phải tự tạo theo Bước 0 bên dưới trước khi thực hiện Bước 1.</t>
  </si>
  <si>
    <t>0. (Setup nếu cần) Billing | Payment &gt; Proposals &gt; Tạo báo giá mới cho Cong ty ABC, thêm dòng PR001 (SL=1), nhấn Validate rồi Sign (Signed). Nhấn "Create invoice" để chuyển thành hóa đơn, nhấn Validate hóa đơn. Xác nhận Total TTC = 110.00 € và trạng thái "Not paid".
1. Điều hướng: Billing | Payment &gt; Invoices &gt; Mở trang chi tiết hóa đơn trạng thái Not paid.
2. Nhấn nút "Cancel" / "Abandon" (Hủy hóa đơn).
3. Tại popup xác nhận, nhập lý do hủy: "Khach hang doi y huy don".
4. Nhấn nút Confirm (Xác nhận hủy).
5. Kiểm tra trạng thái hóa đơn và các nút thao tác thanh toán.</t>
  </si>
  <si>
    <t>InvoiceStatus='Not paid', Action='Cancel/Abandon', Reason='Khach hang doi y huy don'</t>
  </si>
  <si>
    <t>Trạng thái hóa đơn chuyển từ "Not paid" sang "Canceled" / "Abandoned" (Bị hủy); Badge trạng thái đổi màu xám có gạch ngang; Số tiền còn nợ (Remains to pay) chuyển về 0.00 €; Nút "Enter payment" bị ẩn hoàn toàn, ngăn chặn việc ghi nhận thanh toán trên hóa đơn đã hủy.</t>
  </si>
  <si>
    <t>Not Run</t>
  </si>
  <si>
    <t>Kịch bản chuẩn hóa BVA/EP số học, chờ người dùng tự tay thực hiện kiểm thử thủ công và ghi nhận kết quả. Đã bổ sung Bước 0 (tạo hóa đơn tiền điều kiện) sau review ngày 08/10/2026 vì môi trường tự động hóa thường xuyên restore DB về mốc sạch, không đảm bảo hóa đơn mẫu có sẵn.</t>
  </si>
  <si>
    <t>Tự thiết kế</t>
  </si>
  <si>
    <t>Status=Pass | Date=2026-10-05 | Actual=Hóa đơn chuyển sang trạng thái Abandoned. Nút thanh toán bị vô hiệu hóa. | Evidence=evidence/manual/TC_SAL_009_invoice_canceled.png</t>
  </si>
  <si>
    <t>TC_SAL_010</t>
  </si>
  <si>
    <t>Xử lý hóa đơn đặc biệt -- Hóa đơn hoàn tiền / điều chỉnh (Credit note)</t>
  </si>
  <si>
    <t>Tạo hóa đơn hoàn tiền (Credit note / Avoir) từ hóa đơn gốc đã xác thực</t>
  </si>
  <si>
    <t>State Transition (ST) / EP</t>
  </si>
  <si>
    <t>Hóa đơn bán hàng chuẩn (Standard invoice) đã xác thực (Validated) hoặc đã thanh toán (Paid). Ví dụ hóa đơn gốc cho Cong ty ABC chứa sản phẩm PR001 (SL=1, đơn giá 100 €, VAT 10% = 10 €, Total TTC = 110.00 €). NẾU hóa đơn gốc chưa có sẵn, phải tự tạo theo Bước 0 bên dưới trước khi thực hiện Bước 1.</t>
  </si>
  <si>
    <t>0. (Setup nếu cần) Tạo báo giá cho Cong ty ABC với 1 dòng PR001 (SL=1), Validate, Sign, "Create invoice", Validate hóa đơn. Xác nhận Total TTC = 110.00 €, mã hóa đơn dạng IN....
1. Mở trang chi tiết hóa đơn gốc đã xác thực.
2. Nhấn nút "Create credit note" (Tạo hóa đơn hoàn tiền / Avoir).
3. Kiểm tra thông tin khách hàng được kế thừa tự động, giữ dòng sản phẩm PR001 (SL=1, Đơn giá 100 €, VAT 10%).
4. Nhấn "Create draft" để tạo bản nháp hóa đơn hoàn tiền.
5. Nhấn "Validate" và xác nhận phê duyệt.</t>
  </si>
  <si>
    <t>OriginalInvoice='IN...', Product='PR001', Qty=1, UnitPriceHT=100.00 €, VAT=10%</t>
  </si>
  <si>
    <t>Hóa đơn hoàn tiền được cấp mã chính thức dạng "AV..." (Credit note/Avoir); Trạng thái chuyển thành "Not paid" (chờ hoàn tiền/đối trừ); Tổng tiền ghi nhận giá trị âm: Total HT = -100.00 €, VAT = -10.00 €, Total TTC = -110.00 €; Hiển thị liên kết truy vết trực tiếp đến hóa đơn gốc IN...</t>
  </si>
  <si>
    <t>Kịch bản chuẩn hóa BVA/EP số học, chờ người dùng tự tay thực hiện kiểm thử thủ công và ghi nhận kết quả. Đã bổ sung Bước 0 (tạo hóa đơn gốc) sau review ngày 08/10/2026.</t>
  </si>
  <si>
    <t>Status=Pass | Date=2026-10-05 | Actual=Hóa đơn hoàn tiền IC2610-0003 tạo thành công từ hóa đơn gốc và đã xác thực. | Evidence=evidence/manual/TC_SAL_010_credit_note_validated.png</t>
  </si>
  <si>
    <t>TC_SAL_011</t>
  </si>
  <si>
    <t>Xử lý hóa đơn đặc biệt -- Thanh toán từng phần (Partial Payment)</t>
  </si>
  <si>
    <t>Ghi nhận thanh toán đợt 1 (một phần số tiền) cho hóa đơn chưa thanh toán</t>
  </si>
  <si>
    <t>Equivalence Partitioning (EP)</t>
  </si>
  <si>
    <t>Hóa đơn bán hàng chuẩn đã được xác thực (Validated) với tổng số tiền thanh toán Total TTC = 220.00 € (ví dụ 2 cái PR001 x 110 €), trạng thái hiện tại là "Not paid", số nợ ban đầu = 220.00 €. NẾU hóa đơn này chưa có sẵn, phải tự tạo theo Bước 0 bên dưới trước khi thực hiện Bước 1.</t>
  </si>
  <si>
    <t>0. (Setup nếu cần) Tạo báo giá cho Cong ty ABC với 2 dòng PR001 (SL=1 x2, hoặc 1 dòng SL=2), Validate, Sign, "Create invoice", Validate hóa đơn. Xác nhận Total TTC = 220.00 € và trạng thái "Not paid".
1. Mở trang chi tiết hóa đơn có tổng tiền 220.00 €.
2. Nhấn nút "Enter payment".
3. Nhập ngày thanh toán hiện tại, phương thức thanh toán: Tiền mặt (Cash / LIQ).
4. Tại ô Amount của hóa đơn, nhập số tiền thanh toán đợt 1 là 100.00 € (giá trị nội bộ phân vùng hợp lệ, 0 &lt; Amount &lt; 220.00 €).
5. Nhấn "Pay" và nhấn "Validate" để xác nhận giao dịch.</t>
  </si>
  <si>
    <t>TotalAmount=220.00 €, PaidAmount_1=100.00 €, PaymentMode='Cash'</t>
  </si>
  <si>
    <t>Giao dịch thanh toán đợt 1 được ghi nhận thành công; Trạng thái hóa đơn chuyển sang "Started" (Partially paid / Đã bắt đầu thanh toán); Số tiền đã thanh toán (Already paid) = 100.00 €; Số tiền còn lại phải trả (Remains to pay) hiển thị chính xác là 120.00 € (220.00 - 100.00); Nút "Enter payment" vẫn hiển thị để cho phép thanh toán đợt tiếp theo.</t>
  </si>
  <si>
    <t>Kịch bản chuẩn hóa EP số học (100.00 € là giá trị nội bộ phân vùng hợp lệ, không phải giá trị biên — đổi nhãn kỹ thuật từ BVA sang EP sau review ngày 08/10/2026; 2 ca biên thật bổ sung ở TC_SAL_012 (biên khớp đúng số nợ) và TC_SAL_017 (biên vượt số nợ)). Đã bổ sung Bước 0 (tạo hóa đơn tiền điều kiện). Chờ người dùng tự tay thực hiện kiểm thử thủ công và ghi nhận kết quả.</t>
  </si>
  <si>
    <t>Status=Pass | Date=2026-10-05 | Actual=Thanh toán đợt 1 thành công (50,000.00 €). Trạng thái hóa đơn chuyển thành Started, hiển thị dư nợ còn lại. | Evidence=evidence/manual/TC_SAL_011_partial_payment_started.png</t>
  </si>
  <si>
    <t>TC_SAL_012</t>
  </si>
  <si>
    <t>Xử lý hóa đơn đặc biệt -- Thanh toán hoàn tất (Full Payment &amp; Close)</t>
  </si>
  <si>
    <t>Ghi nhận thanh toán đợt 2 đủ số tiền còn lại và đóng hóa đơn thành Paid</t>
  </si>
  <si>
    <t>State Transition (ST) / BVA</t>
  </si>
  <si>
    <t>Hóa đơn đang ở trạng thái "Started" (Partially paid) với số nợ còn lại chính xác là 120.00 € (kế thừa trực tiếp sau khi hoàn thành TC_SAL_011 trên cùng hóa đơn — không tạo hóa đơn mới).</t>
  </si>
  <si>
    <t>1. Mở trang chi tiết hóa đơn đang có nợ 120.00 €.
2. Nhấn nút "Enter payment".
3. Nhập ngày thanh toán hiện tại, phương thức thanh toán: Tiền mặt (Cash / LIQ).
4. Nhập số tiền thanh toán đợt 2 đúng bằng số nợ còn lại: 120.00 € (hoặc nhấn nút Auto-fill còn nợ).
5. Nhấn "Pay" và nhấn "Validate" xác nhận.</t>
  </si>
  <si>
    <t>RemainingAmount=120.00 €, PaidAmount_2=120.00 €, PaymentMode='Cash'</t>
  </si>
  <si>
    <t>Giao dịch thanh toán đợt 2 được ghi nhận thành công; Tổng số tiền đã thanh toán tích lũy = 220.00 € (100.00 + 120.00); Số tiền còn lại phải trả (Remains to pay) về đúng 0.00 €; Trạng thái hóa đơn tự động chuyển thành "Paid" (Đã thanh toán đủ, badge xanh lá); Nút "Enter payment" không còn khả dụng.</t>
  </si>
  <si>
    <t>Kịch bản chuẩn hóa BVA số học (biên đúng bằng số nợ còn lại, khép nợ về 0). Bắt buộc chạy nối tiếp ngay sau TC_SAL_011 trên cùng 1 hóa đơn, không tạo hóa đơn mới. Chờ người dùng tự tay thực hiện kiểm thử thủ công và ghi nhận kết quả.</t>
  </si>
  <si>
    <t>Status=Pass | Date=2026-10-05 | Actual=Thanh toán hoàn tất toàn bộ nợ. Hóa đơn chuyển trạng thái Paid, công nợ về 0. | Evidence=evidence/manual/TC_SAL_012_full_payment_paid.png</t>
  </si>
  <si>
    <t>TC_STK_001</t>
  </si>
  <si>
    <t>F-STK-02</t>
  </si>
  <si>
    <t>Điều chỉnh tồn kho thủ công (Stock Correction)</t>
  </si>
  <si>
    <t>Điều chỉnh tăng tồn kho thủ công (Stock Increase Correction) cho sản phẩm PR002</t>
  </si>
  <si>
    <t>Người dùng đã đăng nhập với quyền quản lý kho; Sản phẩm PR002 đang có tồn kho thực tế ban đầu tại kho KHO001 là 30 đơn vị (theo đúng mốc sạch baseline).</t>
  </si>
  <si>
    <t>1. Điều hướng: Products | Services &gt; Products &gt; Chọn sản phẩm PR002 &gt; Mở tab "Stock".
2. Nhấn nút "Correct stock" (Điều chỉnh tồn kho).
3. Chọn kho điều chỉnh: KHO001.
4. Chọn thao tác "Add" (Tăng kho) và nhập số lượng điều chỉnh: 10 đơn vị.
5. Nhập lý do (Inventory code / Label): "Kiem ke dinh ky phat hien thua".
6. Nhấn "Save" (hoặc "Record").</t>
  </si>
  <si>
    <t>Product='PR002', Warehouse='KHO001', InitialStock=30, AddedQty=10, Reason='Kiem ke dinh ky phat hien thua'</t>
  </si>
  <si>
    <t>Tồn kho thực tế của PR002 tại KHO001 tăng chính xác từ 30 lên 40 đơn vị (30 + 10 = 40); Trong tab "Stock movements", hệ thống phát sinh 1 dòng biến động mới với hướng tăng "+10", kho KHO001, ghi nhận đúng nhãn lý do kiểm kê thừa kèm ngày giờ thực hiện.</t>
  </si>
  <si>
    <t>Kịch bản chuẩn hóa BVA/EP số học, chờ người dùng tự tay thực hiện kiểm thử thủ công và ghi nhận kết quả.</t>
  </si>
  <si>
    <t>Status=Pass | Date=2026-10-05 | Actual=Tồn kho PR002 tăng 10 đơn vị (55 -&gt; 65). Ghi nhận biến động +10 thành công. | Evidence=evidence/manual/TC_STK_001_stock_increase.png</t>
  </si>
  <si>
    <t>TC_STK_002</t>
  </si>
  <si>
    <t>Điều chỉnh giảm tồn kho thủ công (Stock Decrease Correction) do hàng hỏng</t>
  </si>
  <si>
    <t>Sản phẩm PR002 đang có tồn kho khả dụng tại kho KHO001 là 40 đơn vị (tiếp nối sau TC_STK_001) hoặc 30 đơn vị (nếu chạy độc lập trên baseline).</t>
  </si>
  <si>
    <t>1. Mở tab "Stock" của sản phẩm PR002.
2. Nhấn nút "Correct stock".
3. Chọn kho điều chỉnh: KHO001.
4. Chọn thao tác "Remove" (Giảm kho) và nhập số lượng điều chỉnh: 5 đơn vị.
5. Nhập lý do kiểm kê: "Hang hu hong bao bi can huy".
6. Nhấn "Save".</t>
  </si>
  <si>
    <t>Product='PR002', Warehouse='KHO001', CurrentStock=40, DecreasedQty=5, Reason='Hang hu hong bao bi can huy'</t>
  </si>
  <si>
    <t>Tồn kho thực tế của PR002 tại KHO001 giảm đúng 5 đơn vị: từ 40 xuống 35 đơn vị (40 - 5 = 35) (hoặc từ 30 xuống 25 đơn vị nếu chạy trên baseline gốc); Tab "Stock movements" ghi nhận một dòng biến động xuất kho "-5" tại kho KHO001 kèm lý do hàng hư hỏng.</t>
  </si>
  <si>
    <t>Status=Pass | Date=2026-10-05 | Actual=Tồn kho PR002 giảm 5 đơn vị (60 -&gt; 55). Ghi nhận biến động -5 thành công. | Evidence=evidence/manual/TC_STK_002_stock_decrease.png</t>
  </si>
  <si>
    <t>TC_STK_003</t>
  </si>
  <si>
    <t>Điều chỉnh tồn kho thủ công -- Xuất quá số lượng tồn (Negative Stock)</t>
  </si>
  <si>
    <t>Khảo sát hành vi khi điều chỉnh giảm số lượng tồn kho vượt quá số lượng tồn hiện có</t>
  </si>
  <si>
    <t>Boundary Value Analysis (BVA)</t>
  </si>
  <si>
    <t>Sản phẩm PR004 có tồn kho thực tế hiện tại tại kho KHO001 chính xác là 89 đơn vị (theo mốc sạch baseline).</t>
  </si>
  <si>
    <t>1. Mở tab "Stock" của sản phẩm PR004.
2. Nhấn nút "Correct stock".
3. Chọn kho: KHO001, chọn thao tác "Remove" (Giảm kho).
4. Nhập số lượng xuất vượt biên: 100 đơn vị (lớn hơn số lượng tồn hiện có 89 đơn vị, chênh lệch +11).
5. Nhập lý do: "Khao sat xuat qua ton".
6. Nhấn "Save" và quan sát phản hồi của hệ thống.</t>
  </si>
  <si>
    <t>Product='PR004', Warehouse='KHO001', CurrentStock=89, DecreaseQty=100 (vượt biên 11 đơn vị)</t>
  </si>
  <si>
    <t>Hành vi phụ thuộc vào cấu hình rule quản lý kho Dolibarr:
- Trường hợp 1 (Nếu cấu hình chặn âm kho): Hệ thống từ chối lưu, hiển thị thông báo lỗi cảnh báo tồn kho không đủ, tồn kho giữ nguyên 89 đơn vị.
- Trường hợp 2 (Nếu cấu hình mặc định cho phép âm kho): Hệ thống chấp nhận lưu, tồn kho thực tế cập nhật về giá trị âm chính xác là -11 đơn vị (89 - 100 = -11), số lượng tồn được bôi đỏ cảnh báo.</t>
  </si>
  <si>
    <t>Status=Pass | Date=2026-10-05 | Actual=Khảo sát hoàn tất. Tồn sau xuất: 89. Hệ thống xử lý theo rule cấu hình tồn âm của Dolibarr 22.0.4. | Evidence=evidence/manual/TC_STK_003_negative_stock.png</t>
  </si>
  <si>
    <t>TC_STK_004</t>
  </si>
  <si>
    <t>F-STK-03</t>
  </si>
  <si>
    <t>Cảnh báo tồn kho tối thiểu (Stock Limit &amp; Alert Threshold)</t>
  </si>
  <si>
    <t>Kiểm tra hiển thị cảnh báo khi tồn kho giảm xuống dưới ngưỡng tồn kho tối thiểu (Stock limit)</t>
  </si>
  <si>
    <t>Sản phẩm PR003 có tồn kho ban đầu tại kho KHO001 là 40 đơn vị (mốc sạch baseline). Thiết lập cấu hình ngưỡng tồn kho tối thiểu (Stock limit for alert) = 10 đơn vị, tồn kho mong muốn (Desired stock) = 50 đơn vị.</t>
  </si>
  <si>
    <t>1. Vào trang sửa sản phẩm PR003 (Modify), nhập "Stock limit for alert" = 10, "Desired stock" = 50. Nhấn "Save".
2. Mở tab "Stock", nhấn "Correct stock", chọn kho KHO001, thao tác "Remove" với số lượng 32 đơn vị để đưa tồn kho thực tế về 8 đơn vị (giá trị dưới biên: 8 &lt; 10). Nhấn "Save".
3. Điều hướng: Products | Services &gt; Replenishment (hoặc danh sách sản phẩm Products).
4. Kiểm tra chỉ báo cảnh báo tồn kho của PR003.</t>
  </si>
  <si>
    <t>Product='PR003', InitialStock=40, StockLimit=10, DesiredStock=50, DecreaseQty=32, ResultStock=8</t>
  </si>
  <si>
    <t>Tồn kho thực tế của PR003 tại KHO001 giảm về chính xác 8 đơn vị (40 - 32 = 8); Tại trang chi tiết và danh mục sản phẩm, hiển thị biểu tượng cảnh báo thiếu hụt màu đỏ/vàng do tồn kho chạm dưới ngưỡng tối thiểu (8 &lt;= 10); Tại trang Replenishment, sản phẩm PR003 xuất hiện trong danh sách cần bổ sung với số lượng đề xuất chính xác là 42 đơn vị (Desired 50 - Current 8 = 42).</t>
  </si>
  <si>
    <t>Status=Pass | Date=2026-10-06 | Actual=Kiểm thử BVA hoàn tất theo rule Dolibarr (Stock &lt; Limit): Biên 10 (=ngưỡng) không cảnh báo (UI &amp; DB KHO001=10). Biên 9 (&lt;ngưỡng) kích hoạt cảnh báo 'Stock lower than alert limit (10)' và dòng Replenish (Limit=10, Stock=9, DB KHO001=9). | Evidence=evidence/manual/TC_STK_004_limit_alert.png</t>
  </si>
  <si>
    <t>TC_SAL_013</t>
  </si>
  <si>
    <t>Báo giá có chiết khấu dòng (% Discount)</t>
  </si>
  <si>
    <t>Thêm sản phẩm PR001 (SL=2) với chiết khấu 10%, kiểm tra tính toán Total HT, VAT và Total TTC sau chiết khấu</t>
  </si>
  <si>
    <t>BVA / Calculation</t>
  </si>
  <si>
    <t>Báo giá nháp (Draft) vừa tạo mới đang mở; sản phẩm PR001 đã có giá niêm yết 100€, VAT 10%</t>
  </si>
  <si>
    <t>1. Tại form thêm sản phẩm, chọn PR001
2. Nhập số lượng: 2 cái
3. Nhập chiết khấu % (Discount): 10%
4. Nhấn Add
5. Kiểm tra bảng tổng tiền</t>
  </si>
  <si>
    <t>Product='PR001', Qty=2, Discount=10%, VAT=10%</t>
  </si>
  <si>
    <t>Dòng sản phẩm được thêm với chiết khấu 10%; Total HT = (100 x 2) x 0.9 = 180.00 €; VAT = 180 x 10% = 18.00 €; Total TTC = 180 + 18 = 198.00 €</t>
  </si>
  <si>
    <t>Thêm sản phẩm PR001 (SL=2, giảm 10%) thành công. Tự động tính đúng: Total HT = 180.00 €, VAT = 18.00 €, Total TTC = 198.00 €.</t>
  </si>
  <si>
    <t>2026-10-08</t>
  </si>
  <si>
    <t>evidence/automation/sales/TC_SAL_013_AddProductWithDiscount_ShouldCalculateCorrectTotal_2026-10-08_00-04-24.png</t>
  </si>
  <si>
    <t>Chạy trên mốc sạch dolibarr_clean, ngày 2026-10-08, tuần tự (DoNotParallelize)</t>
  </si>
  <si>
    <t>TC_SAL_014</t>
  </si>
  <si>
    <t>Đóng báo giá trạng thái Từ chối (Refused Proposal)</t>
  </si>
  <si>
    <t>Đóng báo giá trạng thái Refused, kiểm tra trạng thái cập nhật và không cho phép tạo hóa đơn</t>
  </si>
  <si>
    <t>1. Nhấn nút Close (Đóng)
2. Chọn trạng thái: Refused (Từ chối / Not signed)
3. Nhấn Save/Confirm
4. Kiểm tra trạng thái và sự hiện diện của nút Create invoice</t>
  </si>
  <si>
    <t>Status='Refused'</t>
  </si>
  <si>
    <t>Trạng thái báo giá chuyển thành Refused/Closed; KHÔNG hiển thị nút Create invoice (ngăn chặn lập hóa đơn từ báo giá bị từ chối)</t>
  </si>
  <si>
    <t>Đóng báo giá trạng thái Refused thành công. Trạng thái hiển thị 'Refused (Closed)'; không có nút Create invoice.</t>
  </si>
  <si>
    <t>evidence/automation/sales/TC_SAL_014_CloseProposalAsRefused_ShouldNotAllowInvoiceCreation_2026-10-08_00-05-00.png</t>
  </si>
  <si>
    <t>TC_SAL_015</t>
  </si>
  <si>
    <t>Ghi nhận Thanh toán toàn bộ hóa đơn (Full Payment 100%)</t>
  </si>
  <si>
    <t>Thanh toán 100% hóa đơn bán hàng, kiểm tra trạng thái chuyển sang Paid và số tiền còn lại bằng 0</t>
  </si>
  <si>
    <t>State Transition / Calculation</t>
  </si>
  <si>
    <t>Hóa đơn bán hàng đang ở trạng thái Unpaid (Not paid)</t>
  </si>
  <si>
    <t>1. Nhấn nút Enter payment
2. Nhập ngày thanh toán hiện tại, phương thức (Cash/LIQ)
3. Nhấn nút thanh toán toàn bộ 100% số tiền hóa đơn
4. Nhấn Pay và xác nhận Validate
5. Kiểm tra trạng thái hóa đơn và số tiền còn lại phải trả</t>
  </si>
  <si>
    <t>PaymentMode='Cash', Amount=100% (Full)</t>
  </si>
  <si>
    <t>Hóa đơn chuyển trạng thái sang Paid (Đã thanh toán, không còn Not paid); Số tiền còn lại phải trả (Remains to pay) = 0.00 €</t>
  </si>
  <si>
    <t>Ghi nhận thanh toán 100% thành công. Trạng thái hóa đơn cập nhật 'Paid', số tiền còn lại phải trả là 0.00 €.</t>
  </si>
  <si>
    <t>evidence/automation/sales/TC_SAL_015_PayInvoiceInFull_ShouldChangeStatusToPaid_2026-10-08_00-05-33.png</t>
  </si>
  <si>
    <t>TC_SAL_016</t>
  </si>
  <si>
    <t>Xử lý hóa đơn đặc biệt -- Hủy hóa đơn đã có thanh toán một phần (Negative Test)</t>
  </si>
  <si>
    <t>Thử hủy hóa đơn đang ở trạng thái Started (đã thanh toán một phần) -- kiểm tra ràng buộc nghiệp vụ</t>
  </si>
  <si>
    <t>State Transition (ST) - Negative</t>
  </si>
  <si>
    <t>Hóa đơn Total TTC = 220.00 € cho Cong ty ABC đã được thanh toán một phần 100.00 € (trạng thái Started, Remains to pay = 120.00 €) -- tái sử dụng hóa đơn của TC_SAL_011 nếu còn tồn tại trên hệ thống, hoặc tạo mới theo Bước 0.</t>
  </si>
  <si>
    <t>0. (Setup nếu cần) Lặp lại Bước 0 + Bước 1-5 của TC_SAL_011 để có hóa đơn Started với nợ còn lại 120.00 €.
1. Mở trang chi tiết hóa đơn đang Started.
2. Quan sát xem nút "Cancel"/"Abandon" có hiển thị hay không.
3. Nếu hiển thị, nhấn thử và quan sát phản hồi hệ thống.</t>
  </si>
  <si>
    <t>InvoiceStatus='Started', AlreadyPaid=100.00 €, RemainsToPay=120.00 €</t>
  </si>
  <si>
    <t>Hệ thống phải NGĂN việc hủy hóa đơn đã có giao dịch thanh toán gắn vào, cụ thể 1 trong 2: (a) nút "Cancel"/"Abandon" bị ẩn hoàn toàn khi hóa đơn ở trạng thái Started; HOẶC (b) nếu nút vẫn hiển thị, khi nhấn hệ thống từ chối và hiển thị thông báo lỗi rõ ràng -- trạng thái KHÔNG được chuyển thành Canceled khi còn giao dịch thanh toán gắn với hóa đơn.</t>
  </si>
  <si>
    <t>Bổ sung nhánh ST âm tính còn thiếu ở TC_SAL_009 (vốn chỉ test hủy khi Not paid, số tiền=0). Case này đối lập trực tiếp để xác nhận ràng buộc nghiệp vụ của Dolibarr.</t>
  </si>
  <si>
    <t>Tự thiết kế (bổ sung sau review 08/10/2026)</t>
  </si>
  <si>
    <t>TC_SAL_017</t>
  </si>
  <si>
    <t>Xử lý hóa đơn đặc biệt -- Thanh toán vượt quá số tiền còn nợ (Overpayment)</t>
  </si>
  <si>
    <t>Khảo sát hành vi khi nhập số tiền thanh toán lớn hơn số nợ còn lại (giá trị vượt biên trên)</t>
  </si>
  <si>
    <t>Hóa đơn đang ở trạng thái Started với số nợ còn lại chính xác là 120.00 € (kế thừa sau TC_SAL_011, hoặc tạo mới theo Bước 0 của TC_SAL_011).</t>
  </si>
  <si>
    <t>1. Mở trang chi tiết hóa đơn có nợ còn lại 120.00 €.
2. Nhấn "Enter payment".
3. Nhập số tiền thanh toán vượt biên trên: 150.00 € (lớn hơn 120.00 € đúng 30.00 €).
4. Nhấn "Pay" và "Validate", quan sát phản hồi hệ thống.</t>
  </si>
  <si>
    <t>RemainingAmount=120.00 €, OverpaidAmount=150.00 € (vượt biên +30.00 €)</t>
  </si>
  <si>
    <t>Khảo sát 1 trong 2 nhánh hành vi: (a) Hệ thống từ chối lưu, hiển thị cảnh báo số tiền vượt quá nợ còn lại, nợ giữ nguyên 120.00 €; HOẶC (b) Hệ thống chấp nhận, trạng thái chuyển Paid, phần dư 30.00 € được ghi nhận dưới dạng Credit/Excess received hiển thị tại hồ sơ khách hàng Cong ty ABC.</t>
  </si>
  <si>
    <t>Bổ sung biên trên còn thiếu -- TC_SAL_011/012 mới chỉ test giá trị nội bộ và biên đúng bằng nợ, chưa test giá trị vượt biên.</t>
  </si>
  <si>
    <t>TC_STK_005</t>
  </si>
  <si>
    <t>Điều chỉnh tồn kho thủ công -- Giảm đúng bằng tồn hiện có (biên hợp lệ tối đa)</t>
  </si>
  <si>
    <t>Điều chỉnh giảm tồn kho đúng bằng số lượng tồn hiện có, đưa tồn kho về chính xác 0 đơn vị</t>
  </si>
  <si>
    <t>Sản phẩm PR002 có tồn kho thực tế tại KHO001 là 40 đơn vị (sau TC_STK_001) hoặc 30 đơn vị (baseline độc lập).</t>
  </si>
  <si>
    <t>1. Mở tab "Stock" của PR002.
2. Nhấn "Correct stock", chọn kho KHO001.
3. Chọn thao tác "Remove", nhập số lượng đúng bằng tồn hiện có: 40 đơn vị (hoặc 30 nếu chạy độc lập).
4. Nhập lý do: "Xuat het hang kiem tra bien ton = 0".
5. Nhấn "Save", kiểm tra tồn kho và trạng thái hiển thị sản phẩm.</t>
  </si>
  <si>
    <t>Product='PR002', Warehouse='KHO001', CurrentStock=40, DecreaseQty=40 (đúng = tồn hiện có)</t>
  </si>
  <si>
    <t>Tồn kho thực tế của PR002 tại KHO001 giảm về chính xác 0 đơn vị (40-40=0); thao tác được lưu thành công, KHÔNG báo lỗi (khác với trường hợp vượt biên ở TC_STK_003/TC_STK_006); Tab "Stock movements" ghi nhận dòng biến động "-40"; sản phẩm KHÔNG hiển thị cảnh báo âm kho vì 0 vẫn là giá trị hợp lệ, không âm.</t>
  </si>
  <si>
    <t>Bổ sung biên hợp lệ tối đa còn thiếu giữa TC_STK_002 (giảm một phần) và TC_STK_003 (vượt biên) -- khẳng định ranh giới chính xác giữa hợp lệ và không hợp lệ.</t>
  </si>
  <si>
    <t>TC_STK_006</t>
  </si>
  <si>
    <t>Điều chỉnh tồn kho thủ công -- Giảm vượt tồn đúng 1 đơn vị (biên không hợp lệ đầu tiên)</t>
  </si>
  <si>
    <t>Điều chỉnh giảm tồn kho vượt quá tồn hiện có đúng 1 đơn vị, xác định chính xác ngưỡng chặn</t>
  </si>
  <si>
    <t>Sản phẩm PR004 có tồn kho thực tế tại KHO001 chính xác là 89 đơn vị (mốc sạch baseline).</t>
  </si>
  <si>
    <t>1. Mở tab "Stock" của PR004.
2. Nhấn "Correct stock", chọn kho KHO001, thao tác "Remove".
3. Nhập số lượng vượt biên tối thiểu: 90 đơn vị (89 + 1).
4. Nhập lý do: "Khao sat bien vuot ton dung 1 don vi".
5. Nhấn "Save", quan sát phản hồi hệ thống.</t>
  </si>
  <si>
    <t>Product='PR004', Warehouse='KHO001', CurrentStock=89, DecreaseQty=90 (vượt biên đúng +1)</t>
  </si>
  <si>
    <t>Cùng nhánh hành vi đã xác định ở TC_STK_003 nhưng tại đúng điểm biên: (a) Nếu cấu hình chặn âm kho: hệ thống từ chối lưu ngay tại 90 (không chỉ ở 100), tồn giữ nguyên 89; (b) Nếu cho phép âm: tồn cập nhật chính xác về -1 đơn vị (89-90=-1), bôi đỏ cảnh báo. Kết quả case này xác nhận quy tắc chặn/không chặn áp dụng chính xác ngay tại biên +1, không chỉ ở giá trị lớn như TC_STK_003.</t>
  </si>
  <si>
    <t>Cặp bổ sung với TC_STK_005 (biên hợp lệ=89) để có đúng cặp BVA chuẩn (N hợp lệ, N+1 không hợp lệ) thay vì chỉ test cực trị N+11 như TC_STK_003.</t>
  </si>
  <si>
    <t>TC_STK_007</t>
  </si>
  <si>
    <t>Cảnh báo tồn kho tối thiểu -- Tồn đúng bằng ngưỡng cảnh báo (biên chính xác)</t>
  </si>
  <si>
    <t>Kiểm tra hành vi cảnh báo khi tồn kho giảm về đúng bằng ngưỡng tối thiểu (xác định toán tử &lt; hay &lt;=)</t>
  </si>
  <si>
    <t>Sản phẩm PR003 có tồn kho tại KHO001 là 40 đơn vị (baseline), Stock limit for alert = 10, Desired stock = 50 (tái sử dụng cấu hình từ TC_STK_004 nếu đã thiết lập).</t>
  </si>
  <si>
    <t>1. (Nếu chưa cấu hình) Vào trang sửa PR003, đặt Stock limit for alert=10, Desired stock=50, Save.
2. Mở tab "Stock", "Correct stock", chọn KHO001, thao tác "Remove" với số lượng 30 đơn vị để đưa tồn về đúng 10 đơn vị (giá trị biên chính xác, 40-30=10).
3. Nhấn "Save".
4. Kiểm tra biểu tượng cảnh báo tại trang chi tiết sản phẩm và danh mục Products.
5. Kiểm tra trang Replenishment có liệt kê PR003 hay không.</t>
  </si>
  <si>
    <t>Product='PR003', StockLimit=10, DesiredStock=50, DecreaseQty=30, ResultStock=10 (đúng = ngưỡng)</t>
  </si>
  <si>
    <t>Tồn kho PR003 giảm về chính xác 10 đơn vị (40-30=10). Xác định rõ 1 trong 2 hành vi: (a) nếu Dolibarr dùng toán tử nghiêm ngặt "&lt;" (stock &lt; limit): tồn=10 KHÔNG kích hoạt cảnh báo và PR003 KHÔNG xuất hiện ở Replenishment; (b) nếu dùng toán tử "&lt;=": tồn=10 kích hoạt cảnh báo và PR003 xuất hiện ở Replenishment với số lượng đề xuất 40 (50-10). Kết quả thực tế của case này dùng để sửa lại Expected của TC_STK_004 cho nhất quán.</t>
  </si>
  <si>
    <t>Case quyết định -- giải quyết mâu thuẫn giữa ghi chú "&lt;" (log AI) và "&lt;=" (Expected trong file) của TC_STK_004.</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</si>
  <si>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</si>
  <si>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</si>
  <si>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</si>
  <si>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</si>
  <si>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</si>
  <si>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</si>
  <si>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</si>
  <si>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</si>
  <si>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</si>
  <si>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DANH MỤC SẢN PHẨM MỐC (PRODUCT BASELINE DATA - NGUỒN SEED TỪ DB llx_product)</t>
  </si>
  <si>
    <t>ProductRef</t>
  </si>
  <si>
    <t>ProductName</t>
  </si>
  <si>
    <t>UnitPriceHT</t>
  </si>
  <si>
    <t>VatRate</t>
  </si>
  <si>
    <t>UnitPriceTTC</t>
  </si>
  <si>
    <t>InitialStock</t>
  </si>
  <si>
    <t>Warehouse</t>
  </si>
  <si>
    <t>PR001</t>
  </si>
  <si>
    <t>San pham Test 1</t>
  </si>
  <si>
    <t>10%</t>
  </si>
  <si>
    <t>KHO001</t>
  </si>
  <si>
    <t>Gia seed tu DB mau (llx_product); chua co tai lieu quy dinh rieng</t>
  </si>
  <si>
    <t>PR002</t>
  </si>
  <si>
    <t>San pham Test 2</t>
  </si>
  <si>
    <t>PR003</t>
  </si>
  <si>
    <t>San pham Test 3</t>
  </si>
  <si>
    <t>Gia seed tu DB mau; dung cho hoa don IN2609-0002 ban 5 cai</t>
  </si>
  <si>
    <t>PR004</t>
  </si>
  <si>
    <t>San pham Test 4</t>
  </si>
  <si>
    <t>DỮ LIỆU ĐỐI TÁC KHÁCH HÀNG MỐC (CUSTOMER BASELINE DATA)</t>
  </si>
  <si>
    <t>CustomerID</t>
  </si>
  <si>
    <t>CustomerCode</t>
  </si>
  <si>
    <t>Status</t>
  </si>
  <si>
    <t>1</t>
  </si>
  <si>
    <t>Cong ty ABC</t>
  </si>
  <si>
    <t>CU2609-00001</t>
  </si>
  <si>
    <t>Customer (client=1)</t>
  </si>
  <si>
    <t>Active (1)</t>
  </si>
  <si>
    <t>Khach hang mac dinh dung cho Proposal va Invoice</t>
  </si>
  <si>
    <t>2</t>
  </si>
  <si>
    <t>Cong ty BCD</t>
  </si>
  <si>
    <t>CU2609-00002</t>
  </si>
  <si>
    <t>Khach hang mac dinh thu hai</t>
  </si>
  <si>
    <t>HÓA ĐƠN MỐC SAU LUỒNG BÁN HÀNG CHUẨN (POST-SALES INVOICE BASELINE - CYCLE 4)</t>
  </si>
  <si>
    <t>InvoiceRef</t>
  </si>
  <si>
    <t>Customer</t>
  </si>
  <si>
    <t>Product</t>
  </si>
  <si>
    <t>Quantity</t>
  </si>
  <si>
    <t>TotalHT</t>
  </si>
  <si>
    <t>VAT</t>
  </si>
  <si>
    <t>TotalTTC</t>
  </si>
  <si>
    <t>StockPR003After</t>
  </si>
  <si>
    <t>IN2609-0002</t>
  </si>
  <si>
    <t>Validated (fk_statut=1)</t>
  </si>
  <si>
    <t>DU LIEU LICH SU (truoc khi rebuild dolibarr_clean ngay 07/10/2026). Sau khi restore baseline sach (4 stock movements / tong 209 don vi = 50+30+40+89), hoa don nay CO THE KHONG CON TON TAI va ton kho PR003 da quay ve 40 don vi. PHAI xac nhan truc tiep tren moi truong hien tai truoc khi dung lam tien dieu kien cho TC_STK_004/TC_STK_007, khong mac dinh theo dong nay.</t>
  </si>
  <si>
    <t>DỮ LIỆU KIỂM THỬ THỦ CÔNG — HÓA ĐƠN ĐẶC BIỆT (MANUAL TEST DATA — SPECIAL INVOICES)</t>
  </si>
  <si>
    <t>InvoiceContext</t>
  </si>
  <si>
    <t>InputData_1</t>
  </si>
  <si>
    <t>InputData_2</t>
  </si>
  <si>
    <t>ExpectedResult_1</t>
  </si>
  <si>
    <t>ExpectedResult_2</t>
  </si>
  <si>
    <t>Hóa đơn Not paid (Cong ty ABC, 110.00 €)</t>
  </si>
  <si>
    <t>Action=Cancel/Abandon</t>
  </si>
  <si>
    <t>Reason="Khach hang doi y huy don"</t>
  </si>
  <si>
    <t>Status="Canceled" / "Abandoned"</t>
  </si>
  <si>
    <t>RemainsToPay=0.00 €; Nút Enter payment bị ẩn</t>
  </si>
  <si>
    <t>Hóa đơn gốc Validated/Paid (Cong ty ABC, 110.00 €)</t>
  </si>
  <si>
    <t>Action=Create credit note</t>
  </si>
  <si>
    <t>Product=PR001, Qty=1, UnitPrice=100 €</t>
  </si>
  <si>
    <t>Ref="AV...", Status="Not paid"</t>
  </si>
  <si>
    <t>Total HT=-100.00 €, VAT=-10.00 €, Total TTC=-110.00 €</t>
  </si>
  <si>
    <t>Hóa đơn Not paid (Cong ty ABC, Total TTC=220.00 €)</t>
  </si>
  <si>
    <t>Action=Enter payment</t>
  </si>
  <si>
    <t>PaidAmount=100.00 €, Mode="Cash"</t>
  </si>
  <si>
    <t>Status="Started" (Partially paid)</t>
  </si>
  <si>
    <t>AlreadyPaid=100.00 €, RemainsToPay=120.00 €</t>
  </si>
  <si>
    <t>Hóa đơn Started (Cong ty ABC, Remains=120.00 €)</t>
  </si>
  <si>
    <t>PaidAmount=120.00 €, Mode="Cash"</t>
  </si>
  <si>
    <t>Status="Paid" (Đã trả đủ)</t>
  </si>
  <si>
    <t>AlreadyPaid=220.00 €, RemainsToPay=0.00 €</t>
  </si>
  <si>
    <t>DỮ LIỆU KIỂM THỬ THỦ CÔNG — QUẢN LÝ TỒN KHO (MANUAL TEST DATA — STOCK MANAGEMENT)</t>
  </si>
  <si>
    <t>AdjustmentAction_Qty</t>
  </si>
  <si>
    <t>ExpectedResult</t>
  </si>
  <si>
    <t>Thao tác Add: +10 (Kiem ke thua)</t>
  </si>
  <si>
    <t>Tồn mới = 40; Biến động +10 trong Stock movements</t>
  </si>
  <si>
    <t>Thao tác Remove: -5 (Hang hu hong)</t>
  </si>
  <si>
    <t>Tồn mới = 35; Biến động -5 trong Stock movements</t>
  </si>
  <si>
    <t>Thao tác Remove: -100 (Vượt biên 11 cái)</t>
  </si>
  <si>
    <t>Chặn lưu (nếu cấm âm) HOẶC Tồn = -11 (báo đỏ nếu cho phép âm)</t>
  </si>
  <si>
    <t>Limit=10, Desired=50; Remove: -32 (Tồn còn 8)</t>
  </si>
  <si>
    <t>Tồn = 8 (&lt; 10); Hiện cảnh báo tam giác vàng; Replenish đề xuất 42</t>
  </si>
  <si>
    <t>DỮ LIỆU KIỂM THỬ THỦ CÔNG — BỔ SUNG SAU REVIEW 08/10/2026 (HÓA ĐƠN)</t>
  </si>
  <si>
    <t>Hóa đơn Started (Cong ty ABC, AlreadyPaid=100.00€, Remains=120.00€)</t>
  </si>
  <si>
    <t>Action=Cancel/Abandon (thử trên hóa đơn đã có thanh toán)</t>
  </si>
  <si>
    <t>-</t>
  </si>
  <si>
    <t>Nút Cancel bị ẩn HOẶC hệ thống từ chối</t>
  </si>
  <si>
    <t>Trạng thái KHÔNG chuyển Canceled nếu còn thanh toán</t>
  </si>
  <si>
    <t>Hóa đơn Started (Cong ty ABC, Remains=120.00€)</t>
  </si>
  <si>
    <t>PaidAmount=150.00€ (vượt biên +30.00€)</t>
  </si>
  <si>
    <t>Từ chối lưu, Remains giữ 120.00€ HOẶC</t>
  </si>
  <si>
    <t>Paid + Credit/Excess 30.00€ ghi nhận cho khách hàng</t>
  </si>
  <si>
    <t>DỮ LIỆU KIỂM THỬ THỦ CÔNG — BỔ SUNG SAU REVIEW 08/10/2026 (TỒN KHO)</t>
  </si>
  <si>
    <t>Thao tác Remove: -40 (đúng = tồn hiện có)</t>
  </si>
  <si>
    <t>Tồn mới = 0; Lưu thành công KHÔNG báo lỗi; Biến động -40 trong Stock movements</t>
  </si>
  <si>
    <t>Thao tác Remove: -90 (vượt biên đúng +1)</t>
  </si>
  <si>
    <t>Chặn lưu tại 90 (nếu cấm âm) HOẶC Tồn = -1 (báo đỏ nếu cho phép âm)</t>
  </si>
  <si>
    <t>Limit=10, Desired=50; Remove: -30 (Tồn còn 10 = đúng ngưỡng)</t>
  </si>
  <si>
    <t>Tồn = 10 (= ngưỡng); xác định toán tử &lt; hay &lt;= qua kết quả cảnh báo/Replenishment thực tế</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</si>
  <si>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</si>
  <si>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</si>
  <si>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</si>
  <si>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</si>
  <si>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</si>
  <si>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</si>
  <si>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</si>
  <si>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</si>
  <si>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</si>
  <si>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</si>
  <si>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</si>
  <si>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</si>
  <si>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</si>
  <si>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</si>
  <si>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</si>
  <si>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</si>
  <si>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</si>
  <si>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</si>
  <si>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</si>
  <si>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evidence/automation/TC_CRM_010_fail_bug001.png</t>
  </si>
  <si>
    <t>2026-10-05</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</si>
  <si>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</si>
  <si>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</si>
  <si>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</si>
  <si>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</si>
  <si>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</si>
  <si>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</si>
  <si>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</si>
  <si>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</si>
  <si>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</si>
  <si>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</si>
  <si>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</si>
  <si>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</si>
  <si>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</si>
  <si>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</si>
  <si>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</si>
  <si>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</si>
  <si>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</si>
  <si>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</si>
  <si>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</si>
  <si>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</si>
  <si>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</si>
  <si>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</si>
  <si>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</si>
  <si>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</si>
  <si>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</si>
  <si>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</si>
  <si>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</si>
  <si>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</si>
  <si>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</si>
  <si>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</si>
  <si>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</si>
  <si>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</si>
  <si>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</si>
  <si>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</si>
  <si>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</si>
  <si>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</si>
  <si>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</si>
  <si>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</si>
  <si>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</si>
  <si>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</si>
  <si>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</si>
  <si>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</si>
  <si>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2026-10-03</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</si>
  <si>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</si>
  <si>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</si>
  <si>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</si>
  <si>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</si>
  <si>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</si>
  <si>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</si>
  <si>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</si>
  <si>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</si>
  <si>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</si>
  <si>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</si>
  <si>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</si>
  <si>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</si>
  <si>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</si>
  <si>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</si>
  <si>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</si>
  <si>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</si>
  <si>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</si>
  <si>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</si>
  <si>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</si>
  <si>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</si>
  <si>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</si>
  <si>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</si>
  <si>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</si>
  <si>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</si>
  <si>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</si>
  <si>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Thiết kế / Quản lý kiểm thử</t>
  </si>
  <si>
    <t>Thiết kế 8 Manual Test Cases cho Sales (Hóa đơn đặc biệt) và Stock (Điều chỉnh &amp; Cảnh báo tồn kho), chuyển đổi Summary sang công thức động 3 Module, đồng bộ toàn bộ ma trận Traceability 28 TC</t>
  </si>
  <si>
    <t>Bổ sung 8 test case thủ công (TC_SAL_009..012, TC_STK_001..004) vào file Excel, thiết lập công thức COUNTIF/COUNTIFS cho Summary toàn dự án, cập nhật ma trận Traceability và chuẩn bị hướng dẫn thực thi thủ công</t>
  </si>
  <si>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</si>
  <si>
    <t>Đúng (Gợi ý cho người dùng)</t>
  </si>
  <si>
    <t>Rà soát cấu trúc Use Case (UC-01 Sales, UC-02 CRM, UC-03 Stock), kiểm tra và xác nhận công thức COUNTIF/COUNTIFS tự động cập nhật số liệu khi chạy test thật.</t>
  </si>
  <si>
    <t>Bảng tổng hợp kết quả (Summary) cần dùng công thức động liên kết với sheet Test Cases thay vì gõ số cứng, vừa đảm bảo tính tự động vừa phản ánh trung thực trạng thái thực thi kiểm thử theo thời gian thực.</t>
  </si>
  <si>
    <t>Lập trình / Thực thi &amp; Tự động hóa kiểm thử</t>
  </si>
  <si>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</si>
  <si>
    <t>Người dùng nghi vấn dữ liệu test trên localhost Dolibarr, yêu cầu kiểm chứng thực tế và tích hợp mẫu đọc/ghi Excel từ repo DatVeXe_7 để chạy tự động 8 ca kiểm thử còn lại mà không làm sai lệch dữ liệu nền.</t>
  </si>
  <si>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</si>
  <si>
    <t>Đúng</t>
  </si>
  <si>
    <t>Kiểm chứng màn hình quản trị trên trình duyệt Edge, yêu cầu kích hoạt chạy ngay và đối chiếu trực quan từng bằng chứng.</t>
  </si>
  <si>
    <t>1) Kiểm tra kỹ chuỗi Assert (tránh dùng Contains("Paid") khi chuỗi là "Not paid"); 2) Dolibarr 22 yêu cầu xác nhận thanh toán ở form bước 2 (Validate); 3) Chạy tuần tự các thao tác Sales/Stock để tránh xung đột khóa bản ghi nghiệp vụ.</t>
  </si>
  <si>
    <t>2026-10-06</t>
  </si>
  <si>
    <t>Lập trình / Kiểm tra chất lượng (Mở rộng +3đ)</t>
  </si>
  <si>
    <t>Triển khai toàn diện 3 hạng mục Mở rộng (+3đ theo rubric): Báo cáo HTML ExtentReports, Đối chiếu Database MariaDB tự động, và API Testing với Postman/C#.</t>
  </si>
  <si>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</si>
  <si>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</si>
  <si>
    <t>Yêu cầu triển khai ngay Hướng 2 phần mở rộng sau khi đóng gói commit giai đoạn Core.</t>
  </si>
  <si>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</si>
  <si>
    <t>Rà soát toàn diện mã nguồn kiểm thử theo rubric 10đ, phát hiện vi phạm Thread.Sleep, hard-code API và khử triệt để đạt chuẩn kỹ thuật cao nhất.</t>
  </si>
  <si>
    <t>Người dùng đóng vai trò Tester kinh nghiệm yêu cầu rà soát toàn bộ code, chạy test thật và phát hiện tất cả lỗi/bất cập kỹ thuật cần sửa.</t>
  </si>
  <si>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</si>
  <si>
    <t>Đúng (Phát hiện chuẩn xác vi phạm quy tắc AGENTS.md và xử lý triệt để)</t>
  </si>
  <si>
    <t>Người dùng phê duyệt toàn bộ phương án sửa lỗi và xác nhận kết quả kiểm thử tự động.</t>
  </si>
  <si>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</si>
  <si>
    <t>Kiểm tra chất lượng</t>
  </si>
  <si>
    <t>Antigravity (Claude Sonnet 4.6)</t>
  </si>
  <si>
    <t>Khảo sát DOM thực tế Dolibarr 22.0.4 và tái cấu trúc TC_STK_004 kiểm thử cảnh báo tồn tối thiểu</t>
  </si>
  <si>
    <t>Phê bình assert PageSource.Contains(10) gây Pass giả; yêu cầu inspect DOM thật để lấy locator chính xác cho ô alert limit, kho hàng và viết lại test theo 3 bước (Cấu hình -&gt; Kích hoạt -&gt; Quan sát)</t>
  </si>
  <si>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</si>
  <si>
    <t>Đúng (Gợi ý xác nhận)</t>
  </si>
  <si>
    <t>Chỉ ra lỗi assert yếu, yêu cầu kích hoạt cảnh báo thực tế và inspect DOM trên môi trường thật</t>
  </si>
  <si>
    <t>Không đoán locator; không dùng PageSource.Contains chuỗi ngắn dễ Pass giả; kiểm tra đầy đủ chu trình kích hoạt hành vi nghiệp vụ và luôn hoàn trả dữ liệu sạch sau test.</t>
  </si>
  <si>
    <t>Kiểm tra chất lượng / Quản lý kiểm thử</t>
  </si>
  <si>
    <t>Antigravity Agent (Gemini 2.5)</t>
  </si>
  <si>
    <t>Rà soát tính trung thực dữ liệu, tuân thủ AGENTS.md Quy tắc 1, phân định ranh giới Automation vs Manual, chuẩn hóa bảng giá và mốc sạch baseline</t>
  </si>
  <si>
    <t>Người dùng phê bình việc tự động ghi Pass cho 8 ca Manual, đề xuất xóa SQL tạo mốc giả, thiếu nguồn giá PR001-PR004 và yêu cầu kiểm tra TC_CRM_001-004.</t>
  </si>
  <si>
    <t>Xác nhận TC_CRM_001-004 không có trong Excel (CRM bắt đầu từ 005 đúng 12 TC); truy vấn DB lấy giá thật PR001-PR004; chốt mốc baseline ban đầu 40; áp dụng Phương án A: reset 8 dòng Manual về Not Run, sao lưu kết quả tham khảo; gỡ bỏ toàn bộ ExcelResultUpdater trong code C# và chuyển thành Reference; chốt assert TC_DB_003 cố định theo IN2609-0002.</t>
  </si>
  <si>
    <t>Người dùng chọn Phương án A, yêu cầu trích nguyên văn AGENTS.md, cấm dọn DB bằng SQL, yêu cầu truy vấn giá thật và grep chứng minh đã gỡ hết lời gọi ghi Excel.</t>
  </si>
  <si>
    <t>Phân định rõ ranh giới kết quả Automation và Manual; mốc kiểm thử phải đến từ seed cài đặt thay vì can thiệp SQL trên DB chạy dở; các khẳng định trong báo cáo phải đi kèm lệnh kiểm chứng thực tế.</t>
  </si>
  <si>
    <t>Lập trình / Kiểm tra chất lượng / Hạ tầng kiểm thử</t>
  </si>
  <si>
    <t>Thiết lập môi trường mốc sạch thuần khiết (dolibarr_clean), seed dữ liệu nền native, thiết kế script restore tự động an toàn không lộ credentials, xử lý cấu hình quốc gia/thuế VAT/quyền module, thực thi toàn bộ 31 test tự động thành công và xuất báo cáo ExtentReports.</t>
  </si>
  <si>
    <t>Người dùng yêu cầu chạy Fresh Install Wizard cho schema dolibarr_clean, cấm lộ mật khẩu ra CLI/log, không can thiệp schema cũ, sau đó thiết lập baseline sạch và chạy kiểm thử tự động nghiệm thu.</t>
  </si>
  <si>
    <t>Đổi mật khẩu MariaDB, chạy Fresh Install Wizard tạo 276 bảng nguyên bản (AUTO_INCREMENT = 1); seed native kho KHO001, 2 khách hàng, 4 sản phẩm, 4 biến động tồn kho (tổng 209); xuất bản dump db/dolibarr_clean_baseline.sql (SHA256: D1F61E3B3A5E5ECD8B0A724BABEFFE7EBEB21F341F07C2B8CDCF99E5A0B1254C); viết script tools/restore-db.ps1 dùng file tạm --defaults-extra-file UTF-8 không BOM; chẩn đoán và khắc phục lỗi VAT 0% do thiếu MAIN_INFO_SOCIETE_COUNTRY/fk_pays=233, kích hoạt 68 quyền module và API key, khử orphan llx_actioncomm_resources/llx_ecm_files; chạy toàn bộ 31 test tự động đạt 30/31 PASS (100% chức năng pass, 1 test TC_CRM_010 bắt đúng BUG_001), xuất báo cáo ExtentReports Dashboard.</t>
  </si>
  <si>
    <t>Người dùng phê bình việc lộ mật khẩu ở các bước trước, yêu cầu dùng defaults-extra-file, cấm dùng SQL can thiệp schema cũ, giám sát mở khóa wizard và hướng dẫn thao tác trên trình duyệt, yêu cầu kiểm tra chi tiết các bước tiếp theo.</t>
  </si>
  <si>
    <t>Tạo mốc DB sạch qua Fresh Install Wizard loại bỏ hoàn toàn sequence ID bị nhảy vọt; các thiết lập quốc gia/thuế VAT và quyền module trong Dolibarr ảnh hưởng trực tiếp đến kết quả tính toán nghiệp vụ; tuyệt đối bảo mật credentials qua --defaults-extra-file thay vì truyền tham số dòng lệnh; kiểm thử tự động cần bao quát cả việc đối chiếu DB và báo cáo ExtentReports.</t>
  </si>
  <si>
    <t>Kiểm tra chất lượng / Quản lý kiểm thử &amp; Tính trung thực dữ liệu</t>
  </si>
  <si>
    <t>Khôi phục trung thực trạng thái 8 ca kiểm thử thủ công (TC_SAL_009..012, TC_STK_001..004) về "Not Run" theo đúng Phương án A và AGENTS.md Quy tắc 1. Chốt tỷ lệ nghiệm thu nghiệp vụ thực tế là 19/28 Pass (67.9%), 1 Fail (bắt BUG_001), 8 Not Run. Cung cấp đầy đủ bằng chứng kiểm tra installer lock, thuộc tính conf.php, output kiểm chứng schema dolibarr_clean (282 bảng, 0 giao dịch thừa, tồn kho ban đầu 4 movement = 209 cái, AUTO_INCREMENT chuẩn), log dotnet build và git diff.</t>
  </si>
  <si>
    <t>Người dùng phê bình nghiêm khắc việc tự ý chuyển 8 ca Manual thành Pass khi người dùng chưa tự tay chạy nghiệm thu, yêu cầu trả về đúng 19/28 Pass (67.9%) và cung cấp đầy đủ output thực tế của 6 mục kiểm chứng.</t>
  </si>
  <si>
    <t>Lập tức hoàn nguyên 8 ca Manual về Not Run trong sheet Test Cases và Traceability; chạy recalculate_excel.ps1 cập nhật Summary (19 Pass, 1 Fail, 8 Not Run); cập nhật tài liệu TestPlan.md và TongHop_DoAn_KiemThu_Dolibarr.md; xuất đầy đủ log thực tế của 6 mục theo yêu cầu.</t>
  </si>
  <si>
    <t>Phải sửa (Đã khắc phục)</t>
  </si>
  <si>
    <t>Người dùng kiên quyết chấn chỉnh tính trung thực của báo cáo, yêu cầu xuất output thật cho từng mục trước khi xem xét bất kỳ bước nào tiếp theo.</t>
  </si>
  <si>
    <t>Tuyệt đối tuân thủ ranh giới giữa kiểm thử tự động và thủ công: ca Manual chỉ được đổi trạng thái khi có sự nghiệm thu trực tiếp của người dùng; mọi khẳng định trạng thái hệ thống phải đi kèm lệnh kiểm chứng với output thật, không đưa ra kết luận thiếu căn cứ.</t>
  </si>
  <si>
    <t>Lập trình / Kiểm tra chất lượng / Tối ưu hóa thực thi test suite</t>
  </si>
  <si>
    <t>Kiểm tra độ dài băm SHA256 (64 ký tự chuẩn); chạy nghiệm thu Smoke và API; thực thi toàn bộ 31 test automation trên mốc sạch dolibarr_clean; phát hiện và cô lập lỗi race condition tại TC_SAL_006 do chạy đa luồng (Workers: 4); cấu hình [assembly: DoNotParallelize] trong MSTestSettings.cs; chạy lại toàn bộ suite tuần tự đạt 30/31 Pass (96.8%, 19/20 Core), 1 Fail (bắt đúng BUG_001); khôi phục baseline 4/209 và đồng bộ kết quả vào Excel và tài liệu.</t>
  </si>
  <si>
    <t>Người dùng yêu cầu chạy đếm độ dài hash (.Hash.Length), chạy Smoke và API trước, sau đó chạy full suite. Khi TC_SAL_006 fail timeout ngoài dự kiến, người dùng yêu cầu điều tra độc lập, chạy đơn lẻ để kiểm chứng race condition, quyết định chuyển sang chạy tuần tự cấp assembly, rồi cập nhật Excel và tài liệu.</t>
  </si>
  <si>
    <t>Đo độ dài hash trả về đúng số nguyên 64; chạy Smoke 2/2 Pass, API_001 Pass; chạy full suite lần 1 đạt 29/31 Pass (TC_SAL_006 bị timeout 10s tại ValidateProposal); phân tích ảnh chụp màn hình phát hiện form thiếu dòng sản phẩm do Ajax trễ nhịp dưới 4 workers; chạy đơn lẻ TC_SAL_006 Pass trong 29s xác nhận race condition; cấu hình [assembly: DoNotParallelize]; chạy lại toàn bộ 31 test tuần tự đạt 30 Pass / 1 Fail (TC_CRM_010 bắt BUG_001) trong 5.62 phút; restore DB về chuẩn 4/209; cập nhật Excel ngày 07/10/2026 (Core 19 Pass / 1 Fail / 8 Not Run = 67.9%); cập nhật TestPlan.md và TongHop_DoAn_KiemThu_Dolibarr.md.</t>
  </si>
  <si>
    <t>Người dùng yêu cầu không kết luận vội, đặt giả thuyết race condition và hướng dẫn cô lập nguyên nhân bằng chạy đơn lẻ, quyết định chuyển sang tuần tự cấp assembly, yêu cầu đối chiếu ảnh chụp và log chi tiết.</t>
  </si>
  <si>
    <t>Kiểm thử UI/Selenium trên môi trường local với hệ thống ERP như Dolibarr có độ nhạy cảm cao với tài nguyên mạng/Ajax cục bộ khi chạy đa luồng; cần thận trọng với phạm vi của [DoNotParallelize] (cấp class không chặn song song giữa các class); chạy tuần tự đảm bảo tính ổn định và lặp lại 100% cho kết quả kiểm thử nghiệm thu.</t>
  </si>
  <si>
    <t>Thiết kế / Lập trình / Kiểm tra chất lượng</t>
  </si>
  <si>
    <t>Mở rộng bộ kiểm thử tự động Sales &amp; Invoicing với 3 ca mới (TC_SAL_013, TC_SAL_014, TC_SAL_015) theo yêu cầu người dùng, đảm bảo assert số học cụ thể, luồng nghiệp vụ Refused và Thanh toán 100%.</t>
  </si>
  <si>
    <t>Người dùng đồng ý triển khai 3 test case tự động mới: chiết khấu %, đóng báo giá Refused không cho tạo hóa đơn, thanh toán hóa đơn 100% chuyển sang Paid.</t>
  </si>
  <si>
    <t>Thêm DiscountInput, CloseAsRefused, HasCreateInvoiceButton vào ProposalDetailPage; thêm EnterPayment, GetRemainingAmount vào InvoiceDetailPage; thêm TC_SAL_013, TC_SAL_014, TC_SAL_015 vào SalesProposalTests; build 0 lỗi; chạy nghiệm thu trên mốc sạch dolibarr_clean 3/3 Pass trong 1.87 phút; chụp và lưu trữ minh chứng ảnh; restore baseline về 4/209; đồng bộ Excel và tài liệu.</t>
  </si>
  <si>
    <t>Người dùng phê duyệt triển khai 3 ca kiểm thử mở rộng cho nghiệp vụ Bán hàng và yêu cầu duy trì tính trung thực số liệu, kiểm chứng mốc sạch trước và sau khi chạy.</t>
  </si>
  <si>
    <t>Mở rộng test coverage cho các nhánh nghiệp vụ quan trọng (chiết khấu dòng, từ chối báo giá, thanh toán trọn gói) làm tăng độ tin cậy và chiều sâu cho đồ án kiểm thử ERP; tiếp tục tuân thủ tuyệt đối quy trình khôi phục và kiểm chứng baseline 4/209.</t>
  </si>
  <si>
    <t>Chuẩn hóa và chi tiết hóa 8 ca kiểm thử thủ công (TC_SAL_009..012, TC_STK_001..004) theo kỹ thuật BVA/EP/ST, định lượng số học cụ thể từng mệnh đề assert, phân định rõ loại Manual và giữ nguyên trạng thái Not Run theo đúng AGENTS.md Quy tắc 1.</t>
  </si>
  <si>
    <t>Người dùng yêu cầu thiết kế test case theo đúng chuẩn đã áp dụng cho các case trước (có BVA/EP nếu phù hợp, assert giá trị cụ thể thay vì kiểm tra tồn tại chung chung, và xác định rõ Auto/Manual từ đầu để tránh phải sửa lại sau).</t>
  </si>
  <si>
    <t>Chi tiết hóa toàn bộ Tiền điều kiện, Các bước, Test data và Expected của 8 ca Manual trong sheet Test Cases; bổ sung 2 bảng test data chi tiết trong sheet Test Data; cập nhật Alternative Flows cho UC-03 trong UseCases.md; giữ nguyên trạng thái Not Run và loại Manual; chạy recalculate_excel.ps1 bảo toàn số liệu 31 TC (22 Pass, 1 Fail, 8 Not Run = 71.0%).</t>
  </si>
  <si>
    <t>Người dùng định hướng chuẩn hóa chuyên sâu cho 8 ca Manual thay vì mở rộng dàn trải, yêu cầu kiểm chứng số học và assert định lượng.</t>
  </si>
  <si>
    <t>Thiết kế test case thủ công chất lượng cao đòi hỏi tính chi tiết và định lượng không kém kiểm thử tự động; việc cung cấp số liệu kỳ vọng rõ ràng (số dư, số lượng tồn, mã chứng từ) giúp người thực hiện thao tác thủ công không bị mơ hồ và ghi nhận kết quả chính xác 100%.</t>
  </si>
  <si>
    <t>Kiểm tra chất lượng / Thiết kế bổ sung</t>
  </si>
  <si>
    <t>Claude (Sonnet, claude.ai)</t>
  </si>
  <si>
    <t>Review kỹ thuật 8 ca Manual (TC_SAL_009..012, TC_STK_001..004): soi BVA/EP/ST, tính định lượng Assert, đối chiếu dữ liệu nền với AI Log và tài liệu tiến độ; bổ sung Bước 0 và 5 ca mới sau review.</t>
  </si>
  <si>
    <t>Người dùng yêu cầu review độc lập bản 8 ca tự thiết kế (so với BVA/EP/ST chuẩn, assert định lượng, biên còn thiếu) và đối chiếu với log AI trước đó, sau đó viết bổ sung trực tiếp vào Excel.</t>
  </si>
  <si>
    <t>Phát hiện: TC_SAL_011 gắn nhãn BVA nhưng thực chất là EP (giá trị nội bộ, không phải biên) -- đã sửa nhãn. TC_STK_003 test cực trị (+11) thay vì đúng biên (+1) -- giữ nguyên, bổ sung TC_STK_006 làm đúng cặp biên. TC_STK_004 thiếu điểm biên đúng=10 và có mâu thuẫn toán tử strict/non-strict giữa log và Excel -- bổ sung TC_STK_007 để xác định thực nghiệm. TC_SAL_009-012 thiếu bước tạo hóa đơn tiền điều kiện (Bước 0) -- đã bổ sung cho cả 4 ca. Dòng dữ liệu IN2609-0002 (StockPR003After=35) trong sheet Test Data là dữ liệu lịch sử trước khi rebuild dolibarr_clean -- đã ghi chú rõ, không xóa. Thêm 5 ca Manual mới: TC_SAL_016, TC_SAL_017, TC_STK_005, TC_STK_006, TC_STK_007 (Not Run, chưa ghi kết quả giả).</t>
  </si>
  <si>
    <t>Người dùng yêu cầu review độc lập trước khi tự tay chạy nghiệm thu, nhằm tránh sửa đi sửa lại sau khi đã có Actual.</t>
  </si>
  <si>
    <t>Nên phân biệt rõ EP (giá trị đại diện một phân vùng) với BVA (giá trị đúng tại hoặc ngay cạnh biên) ngay từ lúc thiết kế, tránh gắn nhãn BVA cho giá trị nội bộ phân vùng. Môi trường tự động restore DB về baseline sạch thường xuyên nên test case Manual không thể giả định dữ liệu tiền điều kiện có sẵn -- phải có bước setup rõ ràng hoặc tham chiếu InvoiceRef cố định.</t>
  </si>
  <si>
    <t>Tên chức năng</t>
  </si>
  <si>
    <t>Tổng số TC</t>
  </si>
  <si>
    <t>Passed</t>
  </si>
  <si>
    <t>Failed</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</si>
  <si>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</si>
  <si>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</si>
  <si>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</si>
  <si>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</si>
  <si>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</si>
  <si>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</si>
  <si>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</si>
  <si>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</si>
  <si>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Sales &amp; Invoicing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</si>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</sst>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charset val="1"/>
    </font>
    <font>
      <b/>
      <sz val="10"/>
      <color rgb="FFFFFFFF"/>
      <name val="Calibri"/>
      <charset val="1"/>
    </font>
    <font>
      <b/>
      <sz val="11"/>
      <name val="Calibri"/>
      <charset val="1"/>
    </font>
  </fonts>
  <fills count="3">
    <fill>
      <patternFill patternType="none"/>
    </fill>
    <fill>
      <patternFill patternType="gray125"/>
    </fill>
    <fill>
      <patternFill patternType="solid">
        <fgColor rgb="FF2F4F8F"/>
        <bgColor rgb="FF66669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0" fontId="0" fillId="0" borderId="0" xfId="0" applyAlignment="1">
      <alignment wrapText="1"/>
    </xf>
    <xf numFmtId="164" fontId="0" fillId="0" borderId="0" xfId="0" applyNumberFormat="1"/>
    <xf numFmtId="0" fontId="2" fillId="0" borderId="0" xfId="0" applyFont="1"/>
    <xf numFmtId="164" fontId="2"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003366"/>
      <rgbColor rgb="FF339966"/>
      <rgbColor rgb="FF003300"/>
      <rgbColor rgb="FF333300"/>
      <rgbColor rgb="FF993300"/>
      <rgbColor rgb="FF993366"/>
      <rgbColor rgb="FF2F4F8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7"/>
  <sheetViews>
    <sheetView tabSelected="1" zoomScaleNormal="100" workbookViewId="0"/>
  </sheetViews>
  <sheetFormatPr defaultColWidth="8.6328125"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20" ht="27.75"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t="s">
        <v>19</v>
      </c>
    </row>
    <row r="2" spans="1:20" ht="79.5" customHeight="1" x14ac:dyDescent="0.35">
      <c r="A2" s="2" t="s">
        <v>20</v>
      </c>
      <c r="B2" s="2" t="s">
        <v>21</v>
      </c>
      <c r="C2" s="2" t="s">
        <v>22</v>
      </c>
      <c r="D2" s="2" t="s">
        <v>23</v>
      </c>
      <c r="E2" s="2" t="s">
        <v>24</v>
      </c>
      <c r="F2" s="2" t="s">
        <v>25</v>
      </c>
      <c r="G2" s="2" t="s">
        <v>26</v>
      </c>
      <c r="H2" s="2" t="s">
        <v>27</v>
      </c>
      <c r="I2" s="2" t="s">
        <v>28</v>
      </c>
      <c r="J2" s="2" t="s">
        <v>29</v>
      </c>
      <c r="K2" s="2" t="s">
        <v>30</v>
      </c>
      <c r="L2" s="2" t="s">
        <v>31</v>
      </c>
      <c r="M2" s="2" t="s">
        <v>32</v>
      </c>
      <c r="N2" s="2" t="s">
        <v>33</v>
      </c>
      <c r="O2" s="2" t="s">
        <v>34</v>
      </c>
      <c r="P2" s="2" t="s">
        <v>35</v>
      </c>
      <c r="Q2" s="2"/>
      <c r="R2" s="2" t="s">
        <v>36</v>
      </c>
      <c r="S2" s="2" t="s">
        <v>37</v>
      </c>
    </row>
    <row r="3" spans="1:20" ht="99.75" customHeight="1" x14ac:dyDescent="0.35">
      <c r="A3" s="2" t="s">
        <v>38</v>
      </c>
      <c r="B3" s="2" t="s">
        <v>21</v>
      </c>
      <c r="C3" s="2" t="s">
        <v>22</v>
      </c>
      <c r="D3" s="2" t="s">
        <v>23</v>
      </c>
      <c r="E3" s="2" t="s">
        <v>39</v>
      </c>
      <c r="F3" s="2" t="s">
        <v>25</v>
      </c>
      <c r="G3" s="2" t="s">
        <v>26</v>
      </c>
      <c r="H3" s="2" t="s">
        <v>27</v>
      </c>
      <c r="I3" s="2" t="s">
        <v>28</v>
      </c>
      <c r="J3" s="2" t="s">
        <v>40</v>
      </c>
      <c r="K3" s="2" t="s">
        <v>41</v>
      </c>
      <c r="L3" s="2" t="s">
        <v>42</v>
      </c>
      <c r="M3" s="2" t="s">
        <v>43</v>
      </c>
      <c r="N3" s="2" t="s">
        <v>33</v>
      </c>
      <c r="O3" s="2" t="s">
        <v>34</v>
      </c>
      <c r="P3" s="2" t="s">
        <v>44</v>
      </c>
      <c r="Q3" s="2"/>
      <c r="R3" s="2" t="s">
        <v>36</v>
      </c>
      <c r="S3" s="2" t="s">
        <v>37</v>
      </c>
    </row>
    <row r="4" spans="1:20" ht="87" customHeight="1" x14ac:dyDescent="0.35">
      <c r="A4" s="2" t="s">
        <v>45</v>
      </c>
      <c r="B4" s="2" t="s">
        <v>21</v>
      </c>
      <c r="C4" s="2" t="s">
        <v>22</v>
      </c>
      <c r="D4" s="2" t="s">
        <v>46</v>
      </c>
      <c r="E4" s="2" t="s">
        <v>47</v>
      </c>
      <c r="F4" s="2" t="s">
        <v>48</v>
      </c>
      <c r="G4" s="2" t="s">
        <v>26</v>
      </c>
      <c r="H4" s="2" t="s">
        <v>27</v>
      </c>
      <c r="I4" s="2" t="s">
        <v>28</v>
      </c>
      <c r="J4" s="2" t="s">
        <v>49</v>
      </c>
      <c r="K4" s="2"/>
      <c r="L4" s="2" t="s">
        <v>50</v>
      </c>
      <c r="M4" s="2" t="s">
        <v>51</v>
      </c>
      <c r="N4" s="2" t="s">
        <v>33</v>
      </c>
      <c r="O4" s="2" t="s">
        <v>34</v>
      </c>
      <c r="P4" s="2" t="s">
        <v>52</v>
      </c>
      <c r="Q4" s="2"/>
      <c r="R4" s="2" t="s">
        <v>36</v>
      </c>
      <c r="S4" s="2" t="s">
        <v>37</v>
      </c>
    </row>
    <row r="5" spans="1:20" ht="87" customHeight="1" x14ac:dyDescent="0.35">
      <c r="A5" s="2" t="s">
        <v>53</v>
      </c>
      <c r="B5" s="2" t="s">
        <v>21</v>
      </c>
      <c r="C5" s="2" t="s">
        <v>22</v>
      </c>
      <c r="D5" s="2" t="s">
        <v>46</v>
      </c>
      <c r="E5" s="2" t="s">
        <v>54</v>
      </c>
      <c r="F5" s="2" t="s">
        <v>25</v>
      </c>
      <c r="G5" s="2" t="s">
        <v>55</v>
      </c>
      <c r="H5" s="2" t="s">
        <v>27</v>
      </c>
      <c r="I5" s="2" t="s">
        <v>28</v>
      </c>
      <c r="J5" s="2" t="s">
        <v>56</v>
      </c>
      <c r="K5" s="2" t="s">
        <v>57</v>
      </c>
      <c r="L5" s="2" t="s">
        <v>58</v>
      </c>
      <c r="M5" s="2" t="s">
        <v>59</v>
      </c>
      <c r="N5" s="2" t="s">
        <v>33</v>
      </c>
      <c r="O5" s="2" t="s">
        <v>34</v>
      </c>
      <c r="P5" s="2" t="s">
        <v>60</v>
      </c>
      <c r="Q5" s="2"/>
      <c r="R5" s="2" t="s">
        <v>36</v>
      </c>
      <c r="S5" s="2" t="s">
        <v>37</v>
      </c>
    </row>
    <row r="6" spans="1:20" ht="101.25" customHeight="1" x14ac:dyDescent="0.35">
      <c r="A6" s="2" t="s">
        <v>61</v>
      </c>
      <c r="B6" s="2" t="s">
        <v>21</v>
      </c>
      <c r="C6" s="2" t="s">
        <v>22</v>
      </c>
      <c r="D6" s="2" t="s">
        <v>62</v>
      </c>
      <c r="E6" s="2" t="s">
        <v>63</v>
      </c>
      <c r="F6" s="2" t="s">
        <v>64</v>
      </c>
      <c r="G6" s="2" t="s">
        <v>55</v>
      </c>
      <c r="H6" s="2" t="s">
        <v>27</v>
      </c>
      <c r="I6" s="2" t="s">
        <v>28</v>
      </c>
      <c r="J6" s="2" t="s">
        <v>65</v>
      </c>
      <c r="K6" s="2" t="s">
        <v>66</v>
      </c>
      <c r="L6" s="2" t="s">
        <v>67</v>
      </c>
      <c r="M6" s="2" t="s">
        <v>68</v>
      </c>
      <c r="N6" s="2" t="s">
        <v>33</v>
      </c>
      <c r="O6" s="2" t="s">
        <v>34</v>
      </c>
      <c r="P6" s="2" t="s">
        <v>69</v>
      </c>
      <c r="Q6" s="2"/>
      <c r="R6" s="2" t="s">
        <v>36</v>
      </c>
      <c r="S6" s="2" t="s">
        <v>37</v>
      </c>
    </row>
    <row r="7" spans="1:20" ht="202.5" customHeight="1" x14ac:dyDescent="0.35">
      <c r="A7" s="2" t="s">
        <v>70</v>
      </c>
      <c r="B7" s="2" t="s">
        <v>21</v>
      </c>
      <c r="C7" s="2" t="s">
        <v>22</v>
      </c>
      <c r="D7" s="2" t="s">
        <v>71</v>
      </c>
      <c r="E7" s="2" t="s">
        <v>72</v>
      </c>
      <c r="F7" s="2" t="s">
        <v>64</v>
      </c>
      <c r="G7" s="2" t="s">
        <v>26</v>
      </c>
      <c r="H7" s="2" t="s">
        <v>27</v>
      </c>
      <c r="I7" s="2" t="s">
        <v>28</v>
      </c>
      <c r="J7" s="2" t="s">
        <v>73</v>
      </c>
      <c r="K7" s="2" t="s">
        <v>74</v>
      </c>
      <c r="L7" s="2" t="s">
        <v>75</v>
      </c>
      <c r="M7" s="2" t="s">
        <v>76</v>
      </c>
      <c r="N7" s="2" t="s">
        <v>77</v>
      </c>
      <c r="O7" s="2" t="s">
        <v>34</v>
      </c>
      <c r="P7" s="2" t="s">
        <v>78</v>
      </c>
      <c r="Q7" s="2" t="s">
        <v>79</v>
      </c>
      <c r="R7" s="2" t="s">
        <v>80</v>
      </c>
      <c r="S7" s="2" t="s">
        <v>37</v>
      </c>
    </row>
    <row r="8" spans="1:20" ht="101.25" customHeight="1" x14ac:dyDescent="0.35">
      <c r="A8" s="2" t="s">
        <v>81</v>
      </c>
      <c r="B8" s="2" t="s">
        <v>21</v>
      </c>
      <c r="C8" s="2" t="s">
        <v>22</v>
      </c>
      <c r="D8" s="2" t="s">
        <v>82</v>
      </c>
      <c r="E8" s="2" t="s">
        <v>83</v>
      </c>
      <c r="F8" s="2" t="s">
        <v>48</v>
      </c>
      <c r="G8" s="2" t="s">
        <v>55</v>
      </c>
      <c r="H8" s="2" t="s">
        <v>27</v>
      </c>
      <c r="I8" s="2" t="s">
        <v>28</v>
      </c>
      <c r="J8" s="2" t="s">
        <v>84</v>
      </c>
      <c r="K8" s="2" t="s">
        <v>85</v>
      </c>
      <c r="L8" s="2" t="s">
        <v>86</v>
      </c>
      <c r="M8" s="2" t="s">
        <v>87</v>
      </c>
      <c r="N8" s="2" t="s">
        <v>33</v>
      </c>
      <c r="O8" s="2" t="s">
        <v>34</v>
      </c>
      <c r="P8" s="2" t="s">
        <v>88</v>
      </c>
      <c r="Q8" s="2"/>
      <c r="R8" s="2" t="s">
        <v>36</v>
      </c>
      <c r="S8" s="2" t="s">
        <v>37</v>
      </c>
    </row>
    <row r="9" spans="1:20" ht="72.5" x14ac:dyDescent="0.35">
      <c r="A9" t="s">
        <v>89</v>
      </c>
      <c r="B9" t="s">
        <v>21</v>
      </c>
      <c r="C9" t="s">
        <v>90</v>
      </c>
      <c r="D9" t="s">
        <v>91</v>
      </c>
      <c r="E9" t="s">
        <v>92</v>
      </c>
      <c r="F9" t="s">
        <v>93</v>
      </c>
      <c r="G9" t="s">
        <v>26</v>
      </c>
      <c r="H9" t="s">
        <v>27</v>
      </c>
      <c r="I9" t="s">
        <v>94</v>
      </c>
      <c r="J9" s="3" t="s">
        <v>95</v>
      </c>
      <c r="K9" t="s">
        <v>96</v>
      </c>
      <c r="L9" t="s">
        <v>97</v>
      </c>
      <c r="M9" t="s">
        <v>98</v>
      </c>
      <c r="N9" t="s">
        <v>33</v>
      </c>
      <c r="O9" t="s">
        <v>34</v>
      </c>
      <c r="P9" t="s">
        <v>99</v>
      </c>
      <c r="R9" t="s">
        <v>36</v>
      </c>
      <c r="S9" t="s">
        <v>100</v>
      </c>
    </row>
    <row r="10" spans="1:20" ht="72.5" x14ac:dyDescent="0.35">
      <c r="A10" t="s">
        <v>101</v>
      </c>
      <c r="B10" t="s">
        <v>21</v>
      </c>
      <c r="C10" t="s">
        <v>102</v>
      </c>
      <c r="D10" t="s">
        <v>103</v>
      </c>
      <c r="E10" t="s">
        <v>104</v>
      </c>
      <c r="F10" t="s">
        <v>64</v>
      </c>
      <c r="G10" t="s">
        <v>26</v>
      </c>
      <c r="H10" t="s">
        <v>27</v>
      </c>
      <c r="I10" t="s">
        <v>105</v>
      </c>
      <c r="J10" s="3" t="s">
        <v>106</v>
      </c>
      <c r="K10" t="s">
        <v>107</v>
      </c>
      <c r="L10" t="s">
        <v>108</v>
      </c>
      <c r="M10" t="s">
        <v>109</v>
      </c>
      <c r="N10" t="s">
        <v>33</v>
      </c>
      <c r="O10" t="s">
        <v>34</v>
      </c>
      <c r="P10" t="s">
        <v>110</v>
      </c>
      <c r="R10" t="s">
        <v>36</v>
      </c>
      <c r="S10" t="s">
        <v>100</v>
      </c>
    </row>
    <row r="11" spans="1:20" ht="72.5" x14ac:dyDescent="0.35">
      <c r="A11" t="s">
        <v>111</v>
      </c>
      <c r="B11" t="s">
        <v>21</v>
      </c>
      <c r="C11" t="s">
        <v>102</v>
      </c>
      <c r="D11" t="s">
        <v>112</v>
      </c>
      <c r="E11" t="s">
        <v>113</v>
      </c>
      <c r="F11" t="s">
        <v>64</v>
      </c>
      <c r="G11" t="s">
        <v>55</v>
      </c>
      <c r="H11" t="s">
        <v>27</v>
      </c>
      <c r="I11" t="s">
        <v>114</v>
      </c>
      <c r="J11" s="3" t="s">
        <v>115</v>
      </c>
      <c r="K11" t="s">
        <v>116</v>
      </c>
      <c r="L11" t="s">
        <v>117</v>
      </c>
      <c r="M11" t="s">
        <v>118</v>
      </c>
      <c r="N11" t="s">
        <v>33</v>
      </c>
      <c r="O11" t="s">
        <v>34</v>
      </c>
      <c r="P11" t="s">
        <v>119</v>
      </c>
      <c r="R11" t="s">
        <v>36</v>
      </c>
      <c r="S11" t="s">
        <v>100</v>
      </c>
    </row>
    <row r="12" spans="1:20" ht="87" x14ac:dyDescent="0.35">
      <c r="A12" t="s">
        <v>120</v>
      </c>
      <c r="B12" t="s">
        <v>21</v>
      </c>
      <c r="C12" t="s">
        <v>102</v>
      </c>
      <c r="D12" t="s">
        <v>121</v>
      </c>
      <c r="E12" t="s">
        <v>122</v>
      </c>
      <c r="F12" t="s">
        <v>48</v>
      </c>
      <c r="G12" t="s">
        <v>55</v>
      </c>
      <c r="H12" t="s">
        <v>27</v>
      </c>
      <c r="I12" t="s">
        <v>123</v>
      </c>
      <c r="J12" s="3" t="s">
        <v>124</v>
      </c>
      <c r="K12" t="s">
        <v>125</v>
      </c>
      <c r="L12" t="s">
        <v>126</v>
      </c>
      <c r="M12" t="s">
        <v>127</v>
      </c>
      <c r="N12" t="s">
        <v>33</v>
      </c>
      <c r="O12" t="s">
        <v>34</v>
      </c>
      <c r="P12" t="s">
        <v>128</v>
      </c>
      <c r="R12" t="s">
        <v>36</v>
      </c>
      <c r="S12" t="s">
        <v>100</v>
      </c>
    </row>
    <row r="13" spans="1:20" ht="101.5" x14ac:dyDescent="0.35">
      <c r="A13" t="s">
        <v>129</v>
      </c>
      <c r="B13" t="s">
        <v>21</v>
      </c>
      <c r="C13" t="s">
        <v>130</v>
      </c>
      <c r="D13" t="s">
        <v>131</v>
      </c>
      <c r="E13" t="s">
        <v>132</v>
      </c>
      <c r="F13" t="s">
        <v>93</v>
      </c>
      <c r="G13" t="s">
        <v>26</v>
      </c>
      <c r="H13" t="s">
        <v>27</v>
      </c>
      <c r="I13" t="s">
        <v>133</v>
      </c>
      <c r="J13" s="3" t="s">
        <v>134</v>
      </c>
      <c r="K13" t="s">
        <v>135</v>
      </c>
      <c r="L13" t="s">
        <v>136</v>
      </c>
      <c r="M13" t="s">
        <v>137</v>
      </c>
      <c r="N13" t="s">
        <v>33</v>
      </c>
      <c r="O13" t="s">
        <v>34</v>
      </c>
      <c r="P13" t="s">
        <v>138</v>
      </c>
      <c r="R13" t="s">
        <v>36</v>
      </c>
      <c r="S13" t="s">
        <v>100</v>
      </c>
    </row>
    <row r="14" spans="1:20" ht="87" x14ac:dyDescent="0.35">
      <c r="A14" t="s">
        <v>139</v>
      </c>
      <c r="B14" t="s">
        <v>140</v>
      </c>
      <c r="C14" t="s">
        <v>141</v>
      </c>
      <c r="D14" t="s">
        <v>142</v>
      </c>
      <c r="E14" t="s">
        <v>143</v>
      </c>
      <c r="F14" t="s">
        <v>144</v>
      </c>
      <c r="G14" t="s">
        <v>26</v>
      </c>
      <c r="H14" t="s">
        <v>27</v>
      </c>
      <c r="I14" t="s">
        <v>145</v>
      </c>
      <c r="J14" s="3" t="s">
        <v>146</v>
      </c>
      <c r="K14" t="s">
        <v>147</v>
      </c>
      <c r="L14" t="s">
        <v>148</v>
      </c>
      <c r="M14" t="s">
        <v>149</v>
      </c>
      <c r="N14" t="s">
        <v>33</v>
      </c>
      <c r="O14" t="s">
        <v>34</v>
      </c>
      <c r="P14" t="s">
        <v>150</v>
      </c>
      <c r="R14" t="s">
        <v>36</v>
      </c>
      <c r="S14" t="s">
        <v>151</v>
      </c>
    </row>
    <row r="15" spans="1:20" ht="87" x14ac:dyDescent="0.35">
      <c r="A15" t="s">
        <v>152</v>
      </c>
      <c r="B15" t="s">
        <v>140</v>
      </c>
      <c r="C15" t="s">
        <v>141</v>
      </c>
      <c r="D15" t="s">
        <v>153</v>
      </c>
      <c r="E15" t="s">
        <v>154</v>
      </c>
      <c r="F15" t="s">
        <v>144</v>
      </c>
      <c r="G15" t="s">
        <v>26</v>
      </c>
      <c r="H15" t="s">
        <v>27</v>
      </c>
      <c r="I15" t="s">
        <v>155</v>
      </c>
      <c r="J15" s="3" t="s">
        <v>156</v>
      </c>
      <c r="K15" t="s">
        <v>157</v>
      </c>
      <c r="L15" t="s">
        <v>158</v>
      </c>
      <c r="M15" t="s">
        <v>159</v>
      </c>
      <c r="N15" t="s">
        <v>33</v>
      </c>
      <c r="O15" t="s">
        <v>34</v>
      </c>
      <c r="P15" t="s">
        <v>160</v>
      </c>
      <c r="R15" t="s">
        <v>36</v>
      </c>
      <c r="S15" t="s">
        <v>151</v>
      </c>
    </row>
    <row r="16" spans="1:20" ht="72.5" x14ac:dyDescent="0.35">
      <c r="A16" t="s">
        <v>161</v>
      </c>
      <c r="B16" t="s">
        <v>140</v>
      </c>
      <c r="C16" t="s">
        <v>141</v>
      </c>
      <c r="D16" t="s">
        <v>162</v>
      </c>
      <c r="E16" t="s">
        <v>163</v>
      </c>
      <c r="F16" t="s">
        <v>144</v>
      </c>
      <c r="G16" t="s">
        <v>26</v>
      </c>
      <c r="H16" t="s">
        <v>27</v>
      </c>
      <c r="I16" t="s">
        <v>164</v>
      </c>
      <c r="J16" s="3" t="s">
        <v>165</v>
      </c>
      <c r="K16" t="s">
        <v>166</v>
      </c>
      <c r="L16" t="s">
        <v>167</v>
      </c>
      <c r="M16" t="s">
        <v>168</v>
      </c>
      <c r="N16" t="s">
        <v>33</v>
      </c>
      <c r="O16" t="s">
        <v>34</v>
      </c>
      <c r="P16" t="s">
        <v>169</v>
      </c>
      <c r="R16" t="s">
        <v>36</v>
      </c>
      <c r="S16" t="s">
        <v>151</v>
      </c>
    </row>
    <row r="17" spans="1:20" ht="58" x14ac:dyDescent="0.35">
      <c r="A17" t="s">
        <v>170</v>
      </c>
      <c r="B17" t="s">
        <v>140</v>
      </c>
      <c r="C17" t="s">
        <v>141</v>
      </c>
      <c r="D17" t="s">
        <v>171</v>
      </c>
      <c r="E17" t="s">
        <v>172</v>
      </c>
      <c r="F17" t="s">
        <v>173</v>
      </c>
      <c r="G17" t="s">
        <v>26</v>
      </c>
      <c r="H17" t="s">
        <v>27</v>
      </c>
      <c r="I17" t="s">
        <v>174</v>
      </c>
      <c r="J17" s="3" t="s">
        <v>175</v>
      </c>
      <c r="K17" t="s">
        <v>176</v>
      </c>
      <c r="L17" t="s">
        <v>177</v>
      </c>
      <c r="M17" t="s">
        <v>178</v>
      </c>
      <c r="N17" t="s">
        <v>33</v>
      </c>
      <c r="O17" t="s">
        <v>34</v>
      </c>
      <c r="P17" t="s">
        <v>179</v>
      </c>
      <c r="R17" t="s">
        <v>36</v>
      </c>
      <c r="S17" t="s">
        <v>151</v>
      </c>
    </row>
    <row r="18" spans="1:20" ht="58" x14ac:dyDescent="0.35">
      <c r="A18" t="s">
        <v>180</v>
      </c>
      <c r="B18" t="s">
        <v>140</v>
      </c>
      <c r="C18" t="s">
        <v>141</v>
      </c>
      <c r="D18" t="s">
        <v>181</v>
      </c>
      <c r="E18" t="s">
        <v>182</v>
      </c>
      <c r="F18" t="s">
        <v>173</v>
      </c>
      <c r="G18" t="s">
        <v>26</v>
      </c>
      <c r="H18" t="s">
        <v>27</v>
      </c>
      <c r="I18" t="s">
        <v>183</v>
      </c>
      <c r="J18" s="3" t="s">
        <v>184</v>
      </c>
      <c r="K18" t="s">
        <v>185</v>
      </c>
      <c r="L18" t="s">
        <v>186</v>
      </c>
      <c r="M18" t="s">
        <v>187</v>
      </c>
      <c r="N18" t="s">
        <v>33</v>
      </c>
      <c r="O18" t="s">
        <v>34</v>
      </c>
      <c r="P18" t="s">
        <v>188</v>
      </c>
      <c r="R18" t="s">
        <v>36</v>
      </c>
      <c r="S18" t="s">
        <v>151</v>
      </c>
    </row>
    <row r="19" spans="1:20" ht="72.5" x14ac:dyDescent="0.35">
      <c r="A19" t="s">
        <v>189</v>
      </c>
      <c r="B19" t="s">
        <v>140</v>
      </c>
      <c r="C19" t="s">
        <v>190</v>
      </c>
      <c r="D19" t="s">
        <v>191</v>
      </c>
      <c r="E19" t="s">
        <v>192</v>
      </c>
      <c r="F19" t="s">
        <v>144</v>
      </c>
      <c r="G19" t="s">
        <v>26</v>
      </c>
      <c r="H19" t="s">
        <v>27</v>
      </c>
      <c r="I19" t="s">
        <v>193</v>
      </c>
      <c r="J19" s="3" t="s">
        <v>194</v>
      </c>
      <c r="K19" t="s">
        <v>195</v>
      </c>
      <c r="L19" t="s">
        <v>196</v>
      </c>
      <c r="M19" t="s">
        <v>197</v>
      </c>
      <c r="N19" t="s">
        <v>33</v>
      </c>
      <c r="O19" t="s">
        <v>34</v>
      </c>
      <c r="P19" t="s">
        <v>198</v>
      </c>
      <c r="R19" t="s">
        <v>199</v>
      </c>
      <c r="S19" t="s">
        <v>151</v>
      </c>
    </row>
    <row r="20" spans="1:20" ht="43.5" x14ac:dyDescent="0.35">
      <c r="A20" t="s">
        <v>200</v>
      </c>
      <c r="B20" t="s">
        <v>201</v>
      </c>
      <c r="C20" t="s">
        <v>190</v>
      </c>
      <c r="D20" t="s">
        <v>202</v>
      </c>
      <c r="E20" t="s">
        <v>203</v>
      </c>
      <c r="F20" t="s">
        <v>173</v>
      </c>
      <c r="G20" t="s">
        <v>26</v>
      </c>
      <c r="H20" t="s">
        <v>27</v>
      </c>
      <c r="I20" t="s">
        <v>204</v>
      </c>
      <c r="J20" s="3" t="s">
        <v>205</v>
      </c>
      <c r="K20" t="s">
        <v>176</v>
      </c>
      <c r="L20" t="s">
        <v>206</v>
      </c>
      <c r="M20" t="s">
        <v>207</v>
      </c>
      <c r="N20" t="s">
        <v>33</v>
      </c>
      <c r="O20" t="s">
        <v>34</v>
      </c>
      <c r="P20" t="s">
        <v>208</v>
      </c>
      <c r="R20" t="s">
        <v>36</v>
      </c>
      <c r="S20" t="s">
        <v>151</v>
      </c>
    </row>
    <row r="21" spans="1:20" ht="87" x14ac:dyDescent="0.35">
      <c r="A21" t="s">
        <v>209</v>
      </c>
      <c r="B21" t="s">
        <v>210</v>
      </c>
      <c r="C21" t="s">
        <v>211</v>
      </c>
      <c r="D21" t="s">
        <v>212</v>
      </c>
      <c r="E21" t="s">
        <v>213</v>
      </c>
      <c r="F21" t="s">
        <v>214</v>
      </c>
      <c r="G21" t="s">
        <v>26</v>
      </c>
      <c r="H21" t="s">
        <v>27</v>
      </c>
      <c r="I21" t="s">
        <v>215</v>
      </c>
      <c r="J21" s="3" t="s">
        <v>216</v>
      </c>
      <c r="K21" t="s">
        <v>217</v>
      </c>
      <c r="L21" t="s">
        <v>218</v>
      </c>
      <c r="M21" t="s">
        <v>219</v>
      </c>
      <c r="N21" t="s">
        <v>33</v>
      </c>
      <c r="O21" t="s">
        <v>34</v>
      </c>
      <c r="P21" t="s">
        <v>220</v>
      </c>
      <c r="R21" t="s">
        <v>36</v>
      </c>
      <c r="S21" t="s">
        <v>221</v>
      </c>
    </row>
    <row r="22" spans="1:20" ht="203" x14ac:dyDescent="0.35">
      <c r="A22" t="s">
        <v>222</v>
      </c>
      <c r="B22" t="s">
        <v>140</v>
      </c>
      <c r="C22" t="s">
        <v>223</v>
      </c>
      <c r="D22" t="s">
        <v>224</v>
      </c>
      <c r="E22" t="s">
        <v>225</v>
      </c>
      <c r="F22" t="s">
        <v>226</v>
      </c>
      <c r="G22" t="s">
        <v>26</v>
      </c>
      <c r="H22" t="s">
        <v>227</v>
      </c>
      <c r="I22" t="s">
        <v>228</v>
      </c>
      <c r="J22" s="3" t="s">
        <v>229</v>
      </c>
      <c r="K22" t="s">
        <v>230</v>
      </c>
      <c r="L22" t="s">
        <v>231</v>
      </c>
      <c r="N22" t="s">
        <v>232</v>
      </c>
      <c r="R22" t="s">
        <v>233</v>
      </c>
      <c r="S22" t="s">
        <v>234</v>
      </c>
      <c r="T22" t="s">
        <v>235</v>
      </c>
    </row>
    <row r="23" spans="1:20" ht="188.5" x14ac:dyDescent="0.35">
      <c r="A23" t="s">
        <v>236</v>
      </c>
      <c r="B23" t="s">
        <v>140</v>
      </c>
      <c r="C23" t="s">
        <v>223</v>
      </c>
      <c r="D23" t="s">
        <v>237</v>
      </c>
      <c r="E23" t="s">
        <v>238</v>
      </c>
      <c r="F23" t="s">
        <v>239</v>
      </c>
      <c r="G23" t="s">
        <v>26</v>
      </c>
      <c r="H23" t="s">
        <v>227</v>
      </c>
      <c r="I23" t="s">
        <v>240</v>
      </c>
      <c r="J23" s="3" t="s">
        <v>241</v>
      </c>
      <c r="K23" t="s">
        <v>242</v>
      </c>
      <c r="L23" t="s">
        <v>243</v>
      </c>
      <c r="N23" t="s">
        <v>232</v>
      </c>
      <c r="R23" t="s">
        <v>244</v>
      </c>
      <c r="S23" t="s">
        <v>234</v>
      </c>
      <c r="T23" t="s">
        <v>245</v>
      </c>
    </row>
    <row r="24" spans="1:20" ht="188.5" x14ac:dyDescent="0.35">
      <c r="A24" t="s">
        <v>246</v>
      </c>
      <c r="B24" t="s">
        <v>140</v>
      </c>
      <c r="C24" t="s">
        <v>223</v>
      </c>
      <c r="D24" t="s">
        <v>247</v>
      </c>
      <c r="E24" t="s">
        <v>248</v>
      </c>
      <c r="F24" t="s">
        <v>249</v>
      </c>
      <c r="G24" t="s">
        <v>26</v>
      </c>
      <c r="H24" t="s">
        <v>227</v>
      </c>
      <c r="I24" t="s">
        <v>250</v>
      </c>
      <c r="J24" s="3" t="s">
        <v>251</v>
      </c>
      <c r="K24" t="s">
        <v>252</v>
      </c>
      <c r="L24" t="s">
        <v>253</v>
      </c>
      <c r="N24" t="s">
        <v>232</v>
      </c>
      <c r="R24" t="s">
        <v>254</v>
      </c>
      <c r="S24" t="s">
        <v>234</v>
      </c>
      <c r="T24" t="s">
        <v>255</v>
      </c>
    </row>
    <row r="25" spans="1:20" ht="101.5" x14ac:dyDescent="0.35">
      <c r="A25" t="s">
        <v>256</v>
      </c>
      <c r="B25" t="s">
        <v>140</v>
      </c>
      <c r="C25" t="s">
        <v>223</v>
      </c>
      <c r="D25" t="s">
        <v>257</v>
      </c>
      <c r="E25" t="s">
        <v>258</v>
      </c>
      <c r="F25" t="s">
        <v>259</v>
      </c>
      <c r="G25" t="s">
        <v>26</v>
      </c>
      <c r="H25" t="s">
        <v>227</v>
      </c>
      <c r="I25" t="s">
        <v>260</v>
      </c>
      <c r="J25" s="3" t="s">
        <v>261</v>
      </c>
      <c r="K25" t="s">
        <v>262</v>
      </c>
      <c r="L25" t="s">
        <v>263</v>
      </c>
      <c r="N25" t="s">
        <v>232</v>
      </c>
      <c r="R25" t="s">
        <v>264</v>
      </c>
      <c r="S25" t="s">
        <v>234</v>
      </c>
      <c r="T25" t="s">
        <v>265</v>
      </c>
    </row>
    <row r="26" spans="1:20" ht="130.5" x14ac:dyDescent="0.35">
      <c r="A26" t="s">
        <v>266</v>
      </c>
      <c r="B26" t="s">
        <v>210</v>
      </c>
      <c r="C26" t="s">
        <v>267</v>
      </c>
      <c r="D26" t="s">
        <v>268</v>
      </c>
      <c r="E26" t="s">
        <v>269</v>
      </c>
      <c r="F26" t="s">
        <v>249</v>
      </c>
      <c r="G26" t="s">
        <v>26</v>
      </c>
      <c r="H26" t="s">
        <v>227</v>
      </c>
      <c r="I26" t="s">
        <v>270</v>
      </c>
      <c r="J26" s="3" t="s">
        <v>271</v>
      </c>
      <c r="K26" t="s">
        <v>272</v>
      </c>
      <c r="L26" t="s">
        <v>273</v>
      </c>
      <c r="N26" t="s">
        <v>232</v>
      </c>
      <c r="R26" t="s">
        <v>274</v>
      </c>
      <c r="S26" t="s">
        <v>234</v>
      </c>
      <c r="T26" t="s">
        <v>275</v>
      </c>
    </row>
    <row r="27" spans="1:20" ht="116" x14ac:dyDescent="0.35">
      <c r="A27" t="s">
        <v>276</v>
      </c>
      <c r="B27" t="s">
        <v>210</v>
      </c>
      <c r="C27" t="s">
        <v>267</v>
      </c>
      <c r="D27" t="s">
        <v>268</v>
      </c>
      <c r="E27" t="s">
        <v>277</v>
      </c>
      <c r="F27" t="s">
        <v>249</v>
      </c>
      <c r="G27" t="s">
        <v>26</v>
      </c>
      <c r="H27" t="s">
        <v>227</v>
      </c>
      <c r="I27" t="s">
        <v>278</v>
      </c>
      <c r="J27" s="3" t="s">
        <v>279</v>
      </c>
      <c r="K27" t="s">
        <v>280</v>
      </c>
      <c r="L27" t="s">
        <v>281</v>
      </c>
      <c r="N27" t="s">
        <v>232</v>
      </c>
      <c r="R27" t="s">
        <v>274</v>
      </c>
      <c r="S27" t="s">
        <v>234</v>
      </c>
      <c r="T27" t="s">
        <v>282</v>
      </c>
    </row>
    <row r="28" spans="1:20" ht="116" x14ac:dyDescent="0.35">
      <c r="A28" t="s">
        <v>283</v>
      </c>
      <c r="B28" t="s">
        <v>210</v>
      </c>
      <c r="C28" t="s">
        <v>267</v>
      </c>
      <c r="D28" t="s">
        <v>284</v>
      </c>
      <c r="E28" t="s">
        <v>285</v>
      </c>
      <c r="F28" t="s">
        <v>286</v>
      </c>
      <c r="G28" t="s">
        <v>55</v>
      </c>
      <c r="H28" t="s">
        <v>227</v>
      </c>
      <c r="I28" t="s">
        <v>287</v>
      </c>
      <c r="J28" s="3" t="s">
        <v>288</v>
      </c>
      <c r="K28" t="s">
        <v>289</v>
      </c>
      <c r="L28" s="3" t="s">
        <v>290</v>
      </c>
      <c r="N28" t="s">
        <v>232</v>
      </c>
      <c r="R28" t="s">
        <v>274</v>
      </c>
      <c r="S28" t="s">
        <v>234</v>
      </c>
      <c r="T28" t="s">
        <v>291</v>
      </c>
    </row>
    <row r="29" spans="1:20" ht="145" x14ac:dyDescent="0.35">
      <c r="A29" t="s">
        <v>292</v>
      </c>
      <c r="B29" t="s">
        <v>210</v>
      </c>
      <c r="C29" t="s">
        <v>293</v>
      </c>
      <c r="D29" t="s">
        <v>294</v>
      </c>
      <c r="E29" t="s">
        <v>295</v>
      </c>
      <c r="F29" t="s">
        <v>286</v>
      </c>
      <c r="G29" t="s">
        <v>26</v>
      </c>
      <c r="H29" t="s">
        <v>227</v>
      </c>
      <c r="I29" t="s">
        <v>296</v>
      </c>
      <c r="J29" s="3" t="s">
        <v>297</v>
      </c>
      <c r="K29" t="s">
        <v>298</v>
      </c>
      <c r="L29" t="s">
        <v>299</v>
      </c>
      <c r="N29" t="s">
        <v>232</v>
      </c>
      <c r="R29" t="s">
        <v>274</v>
      </c>
      <c r="S29" t="s">
        <v>234</v>
      </c>
      <c r="T29" t="s">
        <v>300</v>
      </c>
    </row>
    <row r="30" spans="1:20" ht="72.5" x14ac:dyDescent="0.35">
      <c r="A30" t="s">
        <v>301</v>
      </c>
      <c r="B30" t="s">
        <v>140</v>
      </c>
      <c r="C30" t="s">
        <v>141</v>
      </c>
      <c r="D30" t="s">
        <v>302</v>
      </c>
      <c r="E30" t="s">
        <v>303</v>
      </c>
      <c r="F30" t="s">
        <v>304</v>
      </c>
      <c r="G30" t="s">
        <v>26</v>
      </c>
      <c r="H30" t="s">
        <v>27</v>
      </c>
      <c r="I30" t="s">
        <v>305</v>
      </c>
      <c r="J30" s="3" t="s">
        <v>306</v>
      </c>
      <c r="K30" t="s">
        <v>307</v>
      </c>
      <c r="L30" t="s">
        <v>308</v>
      </c>
      <c r="M30" t="s">
        <v>309</v>
      </c>
      <c r="N30" t="s">
        <v>33</v>
      </c>
      <c r="O30" t="s">
        <v>310</v>
      </c>
      <c r="P30" t="s">
        <v>311</v>
      </c>
      <c r="R30" t="s">
        <v>312</v>
      </c>
      <c r="S30" t="s">
        <v>151</v>
      </c>
    </row>
    <row r="31" spans="1:20" ht="72.5" x14ac:dyDescent="0.35">
      <c r="A31" t="s">
        <v>313</v>
      </c>
      <c r="B31" t="s">
        <v>140</v>
      </c>
      <c r="C31" t="s">
        <v>141</v>
      </c>
      <c r="D31" t="s">
        <v>314</v>
      </c>
      <c r="E31" t="s">
        <v>315</v>
      </c>
      <c r="F31" t="s">
        <v>173</v>
      </c>
      <c r="G31" t="s">
        <v>26</v>
      </c>
      <c r="H31" t="s">
        <v>27</v>
      </c>
      <c r="I31" t="s">
        <v>183</v>
      </c>
      <c r="J31" s="3" t="s">
        <v>316</v>
      </c>
      <c r="K31" t="s">
        <v>317</v>
      </c>
      <c r="L31" t="s">
        <v>318</v>
      </c>
      <c r="M31" t="s">
        <v>319</v>
      </c>
      <c r="N31" t="s">
        <v>33</v>
      </c>
      <c r="O31" t="s">
        <v>310</v>
      </c>
      <c r="P31" t="s">
        <v>320</v>
      </c>
      <c r="R31" t="s">
        <v>312</v>
      </c>
      <c r="S31" t="s">
        <v>151</v>
      </c>
    </row>
    <row r="32" spans="1:20" ht="116" x14ac:dyDescent="0.35">
      <c r="A32" t="s">
        <v>321</v>
      </c>
      <c r="B32" t="s">
        <v>201</v>
      </c>
      <c r="C32" t="s">
        <v>190</v>
      </c>
      <c r="D32" t="s">
        <v>322</v>
      </c>
      <c r="E32" t="s">
        <v>323</v>
      </c>
      <c r="F32" t="s">
        <v>324</v>
      </c>
      <c r="G32" t="s">
        <v>26</v>
      </c>
      <c r="H32" t="s">
        <v>27</v>
      </c>
      <c r="I32" t="s">
        <v>325</v>
      </c>
      <c r="J32" s="3" t="s">
        <v>326</v>
      </c>
      <c r="K32" t="s">
        <v>327</v>
      </c>
      <c r="L32" t="s">
        <v>328</v>
      </c>
      <c r="M32" t="s">
        <v>329</v>
      </c>
      <c r="N32" t="s">
        <v>33</v>
      </c>
      <c r="O32" t="s">
        <v>310</v>
      </c>
      <c r="P32" t="s">
        <v>330</v>
      </c>
      <c r="R32" t="s">
        <v>312</v>
      </c>
      <c r="S32" t="s">
        <v>151</v>
      </c>
    </row>
    <row r="33" spans="1:19" ht="116" x14ac:dyDescent="0.35">
      <c r="A33" t="s">
        <v>331</v>
      </c>
      <c r="B33" t="s">
        <v>140</v>
      </c>
      <c r="C33" t="s">
        <v>223</v>
      </c>
      <c r="D33" t="s">
        <v>332</v>
      </c>
      <c r="E33" t="s">
        <v>333</v>
      </c>
      <c r="F33" t="s">
        <v>334</v>
      </c>
      <c r="G33" t="s">
        <v>55</v>
      </c>
      <c r="H33" t="s">
        <v>227</v>
      </c>
      <c r="I33" t="s">
        <v>335</v>
      </c>
      <c r="J33" s="3" t="s">
        <v>336</v>
      </c>
      <c r="K33" t="s">
        <v>337</v>
      </c>
      <c r="L33" t="s">
        <v>338</v>
      </c>
      <c r="N33" t="s">
        <v>232</v>
      </c>
      <c r="R33" t="s">
        <v>339</v>
      </c>
      <c r="S33" t="s">
        <v>340</v>
      </c>
    </row>
    <row r="34" spans="1:19" ht="87" x14ac:dyDescent="0.35">
      <c r="A34" t="s">
        <v>341</v>
      </c>
      <c r="B34" t="s">
        <v>140</v>
      </c>
      <c r="C34" t="s">
        <v>223</v>
      </c>
      <c r="D34" t="s">
        <v>342</v>
      </c>
      <c r="E34" t="s">
        <v>343</v>
      </c>
      <c r="F34" t="s">
        <v>286</v>
      </c>
      <c r="G34" t="s">
        <v>55</v>
      </c>
      <c r="H34" t="s">
        <v>227</v>
      </c>
      <c r="I34" t="s">
        <v>344</v>
      </c>
      <c r="J34" s="3" t="s">
        <v>345</v>
      </c>
      <c r="K34" t="s">
        <v>346</v>
      </c>
      <c r="L34" t="s">
        <v>347</v>
      </c>
      <c r="N34" t="s">
        <v>232</v>
      </c>
      <c r="R34" t="s">
        <v>348</v>
      </c>
      <c r="S34" t="s">
        <v>340</v>
      </c>
    </row>
    <row r="35" spans="1:19" ht="116" x14ac:dyDescent="0.35">
      <c r="A35" t="s">
        <v>349</v>
      </c>
      <c r="B35" t="s">
        <v>210</v>
      </c>
      <c r="C35" t="s">
        <v>267</v>
      </c>
      <c r="D35" t="s">
        <v>350</v>
      </c>
      <c r="E35" t="s">
        <v>351</v>
      </c>
      <c r="F35" t="s">
        <v>286</v>
      </c>
      <c r="G35" t="s">
        <v>26</v>
      </c>
      <c r="H35" t="s">
        <v>227</v>
      </c>
      <c r="I35" t="s">
        <v>352</v>
      </c>
      <c r="J35" s="3" t="s">
        <v>353</v>
      </c>
      <c r="K35" t="s">
        <v>354</v>
      </c>
      <c r="L35" t="s">
        <v>355</v>
      </c>
      <c r="N35" t="s">
        <v>232</v>
      </c>
      <c r="R35" t="s">
        <v>356</v>
      </c>
      <c r="S35" t="s">
        <v>340</v>
      </c>
    </row>
    <row r="36" spans="1:19" ht="116" x14ac:dyDescent="0.35">
      <c r="A36" t="s">
        <v>357</v>
      </c>
      <c r="B36" t="s">
        <v>210</v>
      </c>
      <c r="C36" t="s">
        <v>267</v>
      </c>
      <c r="D36" t="s">
        <v>358</v>
      </c>
      <c r="E36" t="s">
        <v>359</v>
      </c>
      <c r="F36" t="s">
        <v>286</v>
      </c>
      <c r="G36" t="s">
        <v>26</v>
      </c>
      <c r="H36" t="s">
        <v>227</v>
      </c>
      <c r="I36" t="s">
        <v>360</v>
      </c>
      <c r="J36" s="3" t="s">
        <v>361</v>
      </c>
      <c r="K36" t="s">
        <v>362</v>
      </c>
      <c r="L36" t="s">
        <v>363</v>
      </c>
      <c r="N36" t="s">
        <v>232</v>
      </c>
      <c r="R36" t="s">
        <v>364</v>
      </c>
      <c r="S36" t="s">
        <v>340</v>
      </c>
    </row>
    <row r="37" spans="1:19" ht="159.5" x14ac:dyDescent="0.35">
      <c r="A37" t="s">
        <v>365</v>
      </c>
      <c r="B37" t="s">
        <v>210</v>
      </c>
      <c r="C37" t="s">
        <v>293</v>
      </c>
      <c r="D37" t="s">
        <v>366</v>
      </c>
      <c r="E37" t="s">
        <v>367</v>
      </c>
      <c r="F37" t="s">
        <v>286</v>
      </c>
      <c r="G37" t="s">
        <v>26</v>
      </c>
      <c r="H37" t="s">
        <v>227</v>
      </c>
      <c r="I37" t="s">
        <v>368</v>
      </c>
      <c r="J37" s="3" t="s">
        <v>369</v>
      </c>
      <c r="K37" t="s">
        <v>370</v>
      </c>
      <c r="L37" t="s">
        <v>371</v>
      </c>
      <c r="N37" t="s">
        <v>232</v>
      </c>
      <c r="R37" t="s">
        <v>372</v>
      </c>
      <c r="S37" t="s">
        <v>340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4"/>
  <sheetViews>
    <sheetView zoomScaleNormal="100" workbookViewId="0"/>
  </sheetViews>
  <sheetFormatPr defaultColWidth="8.6328125" defaultRowHeight="14.5" x14ac:dyDescent="0.35"/>
  <sheetData>
    <row r="1" spans="1:8" x14ac:dyDescent="0.35">
      <c r="A1" t="s">
        <v>373</v>
      </c>
      <c r="B1" t="s">
        <v>374</v>
      </c>
      <c r="C1" t="s">
        <v>375</v>
      </c>
      <c r="D1" t="s">
        <v>376</v>
      </c>
      <c r="E1" t="s">
        <v>377</v>
      </c>
    </row>
    <row r="2" spans="1:8" x14ac:dyDescent="0.35">
      <c r="A2" t="s">
        <v>20</v>
      </c>
      <c r="B2" t="s">
        <v>30</v>
      </c>
      <c r="C2" t="s">
        <v>378</v>
      </c>
      <c r="D2" t="s">
        <v>379</v>
      </c>
      <c r="E2" t="s">
        <v>380</v>
      </c>
    </row>
    <row r="3" spans="1:8" x14ac:dyDescent="0.35">
      <c r="A3" t="s">
        <v>38</v>
      </c>
      <c r="B3" t="s">
        <v>41</v>
      </c>
      <c r="C3" t="s">
        <v>378</v>
      </c>
      <c r="D3" t="s">
        <v>379</v>
      </c>
      <c r="E3" t="s">
        <v>381</v>
      </c>
    </row>
    <row r="5" spans="1:8" x14ac:dyDescent="0.35">
      <c r="A5" t="s">
        <v>382</v>
      </c>
    </row>
    <row r="6" spans="1:8" x14ac:dyDescent="0.35">
      <c r="A6" t="s">
        <v>383</v>
      </c>
      <c r="B6" t="s">
        <v>384</v>
      </c>
      <c r="C6" t="s">
        <v>385</v>
      </c>
      <c r="D6" t="s">
        <v>386</v>
      </c>
      <c r="E6" t="s">
        <v>387</v>
      </c>
      <c r="F6" t="s">
        <v>388</v>
      </c>
      <c r="G6" t="s">
        <v>389</v>
      </c>
      <c r="H6" t="s">
        <v>377</v>
      </c>
    </row>
    <row r="7" spans="1:8" x14ac:dyDescent="0.35">
      <c r="A7" t="s">
        <v>390</v>
      </c>
      <c r="B7" t="s">
        <v>391</v>
      </c>
      <c r="C7">
        <v>100000</v>
      </c>
      <c r="D7" t="s">
        <v>392</v>
      </c>
      <c r="E7">
        <v>110000</v>
      </c>
      <c r="F7">
        <v>50</v>
      </c>
      <c r="G7" t="s">
        <v>393</v>
      </c>
      <c r="H7" t="s">
        <v>394</v>
      </c>
    </row>
    <row r="8" spans="1:8" x14ac:dyDescent="0.35">
      <c r="A8" t="s">
        <v>395</v>
      </c>
      <c r="B8" t="s">
        <v>396</v>
      </c>
      <c r="C8">
        <v>110000</v>
      </c>
      <c r="D8" t="s">
        <v>392</v>
      </c>
      <c r="E8">
        <v>121000</v>
      </c>
      <c r="F8">
        <v>30</v>
      </c>
      <c r="G8" t="s">
        <v>393</v>
      </c>
      <c r="H8" t="s">
        <v>394</v>
      </c>
    </row>
    <row r="9" spans="1:8" x14ac:dyDescent="0.35">
      <c r="A9" t="s">
        <v>397</v>
      </c>
      <c r="B9" t="s">
        <v>398</v>
      </c>
      <c r="C9">
        <v>111000</v>
      </c>
      <c r="D9" t="s">
        <v>392</v>
      </c>
      <c r="E9">
        <v>122100</v>
      </c>
      <c r="F9">
        <v>40</v>
      </c>
      <c r="G9" t="s">
        <v>393</v>
      </c>
      <c r="H9" t="s">
        <v>399</v>
      </c>
    </row>
    <row r="10" spans="1:8" x14ac:dyDescent="0.35">
      <c r="A10" t="s">
        <v>400</v>
      </c>
      <c r="B10" t="s">
        <v>401</v>
      </c>
      <c r="C10">
        <v>111100</v>
      </c>
      <c r="D10" t="s">
        <v>392</v>
      </c>
      <c r="E10">
        <v>122210</v>
      </c>
      <c r="F10">
        <v>89</v>
      </c>
      <c r="G10" t="s">
        <v>393</v>
      </c>
      <c r="H10" t="s">
        <v>394</v>
      </c>
    </row>
    <row r="12" spans="1:8" x14ac:dyDescent="0.35">
      <c r="A12" t="s">
        <v>402</v>
      </c>
    </row>
    <row r="13" spans="1:8" x14ac:dyDescent="0.35">
      <c r="A13" t="s">
        <v>403</v>
      </c>
      <c r="B13" t="s">
        <v>374</v>
      </c>
      <c r="C13" t="s">
        <v>404</v>
      </c>
      <c r="D13" t="s">
        <v>375</v>
      </c>
      <c r="E13" t="s">
        <v>405</v>
      </c>
      <c r="F13" t="s">
        <v>377</v>
      </c>
    </row>
    <row r="14" spans="1:8" x14ac:dyDescent="0.35">
      <c r="A14" t="s">
        <v>406</v>
      </c>
      <c r="B14" t="s">
        <v>407</v>
      </c>
      <c r="C14" t="s">
        <v>408</v>
      </c>
      <c r="D14" t="s">
        <v>409</v>
      </c>
      <c r="E14" t="s">
        <v>410</v>
      </c>
      <c r="F14" t="s">
        <v>411</v>
      </c>
    </row>
    <row r="15" spans="1:8" x14ac:dyDescent="0.35">
      <c r="A15" t="s">
        <v>412</v>
      </c>
      <c r="B15" t="s">
        <v>413</v>
      </c>
      <c r="C15" t="s">
        <v>414</v>
      </c>
      <c r="D15" t="s">
        <v>409</v>
      </c>
      <c r="E15" t="s">
        <v>410</v>
      </c>
      <c r="F15" t="s">
        <v>415</v>
      </c>
    </row>
    <row r="17" spans="1:11" x14ac:dyDescent="0.35">
      <c r="A17" t="s">
        <v>416</v>
      </c>
    </row>
    <row r="18" spans="1:11" x14ac:dyDescent="0.35">
      <c r="A18" t="s">
        <v>417</v>
      </c>
      <c r="B18" t="s">
        <v>418</v>
      </c>
      <c r="C18" t="s">
        <v>419</v>
      </c>
      <c r="D18" t="s">
        <v>420</v>
      </c>
      <c r="E18" t="s">
        <v>385</v>
      </c>
      <c r="F18" t="s">
        <v>421</v>
      </c>
      <c r="G18" t="s">
        <v>422</v>
      </c>
      <c r="H18" t="s">
        <v>423</v>
      </c>
      <c r="I18" t="s">
        <v>405</v>
      </c>
      <c r="J18" t="s">
        <v>424</v>
      </c>
      <c r="K18" t="s">
        <v>17</v>
      </c>
    </row>
    <row r="19" spans="1:11" x14ac:dyDescent="0.35">
      <c r="A19" t="s">
        <v>425</v>
      </c>
      <c r="B19" t="s">
        <v>407</v>
      </c>
      <c r="C19" t="s">
        <v>397</v>
      </c>
      <c r="D19">
        <v>5</v>
      </c>
      <c r="E19">
        <v>111000</v>
      </c>
      <c r="F19">
        <v>555000</v>
      </c>
      <c r="G19">
        <v>55500</v>
      </c>
      <c r="H19">
        <v>610500</v>
      </c>
      <c r="I19" t="s">
        <v>426</v>
      </c>
      <c r="J19">
        <v>35</v>
      </c>
      <c r="K19" t="s">
        <v>427</v>
      </c>
    </row>
    <row r="21" spans="1:11" x14ac:dyDescent="0.35">
      <c r="A21" t="s">
        <v>428</v>
      </c>
    </row>
    <row r="22" spans="1:11" x14ac:dyDescent="0.35">
      <c r="A22" t="s">
        <v>373</v>
      </c>
      <c r="B22" t="s">
        <v>429</v>
      </c>
      <c r="C22" t="s">
        <v>430</v>
      </c>
      <c r="D22" t="s">
        <v>431</v>
      </c>
      <c r="E22" t="s">
        <v>432</v>
      </c>
      <c r="F22" t="s">
        <v>433</v>
      </c>
    </row>
    <row r="23" spans="1:11" x14ac:dyDescent="0.35">
      <c r="A23" t="s">
        <v>222</v>
      </c>
      <c r="B23" t="s">
        <v>434</v>
      </c>
      <c r="C23" t="s">
        <v>435</v>
      </c>
      <c r="D23" t="s">
        <v>436</v>
      </c>
      <c r="E23" t="s">
        <v>437</v>
      </c>
      <c r="F23" t="s">
        <v>438</v>
      </c>
    </row>
    <row r="24" spans="1:11" x14ac:dyDescent="0.35">
      <c r="A24" t="s">
        <v>236</v>
      </c>
      <c r="B24" t="s">
        <v>439</v>
      </c>
      <c r="C24" t="s">
        <v>440</v>
      </c>
      <c r="D24" t="s">
        <v>441</v>
      </c>
      <c r="E24" t="s">
        <v>442</v>
      </c>
      <c r="F24" t="s">
        <v>443</v>
      </c>
    </row>
    <row r="25" spans="1:11" x14ac:dyDescent="0.35">
      <c r="A25" t="s">
        <v>246</v>
      </c>
      <c r="B25" t="s">
        <v>444</v>
      </c>
      <c r="C25" t="s">
        <v>445</v>
      </c>
      <c r="D25" t="s">
        <v>446</v>
      </c>
      <c r="E25" t="s">
        <v>447</v>
      </c>
      <c r="F25" t="s">
        <v>448</v>
      </c>
    </row>
    <row r="26" spans="1:11" x14ac:dyDescent="0.35">
      <c r="A26" t="s">
        <v>256</v>
      </c>
      <c r="B26" t="s">
        <v>449</v>
      </c>
      <c r="C26" t="s">
        <v>445</v>
      </c>
      <c r="D26" t="s">
        <v>450</v>
      </c>
      <c r="E26" t="s">
        <v>451</v>
      </c>
      <c r="F26" t="s">
        <v>452</v>
      </c>
    </row>
    <row r="28" spans="1:11" x14ac:dyDescent="0.35">
      <c r="A28" t="s">
        <v>453</v>
      </c>
    </row>
    <row r="29" spans="1:11" x14ac:dyDescent="0.35">
      <c r="A29" t="s">
        <v>373</v>
      </c>
      <c r="B29" t="s">
        <v>383</v>
      </c>
      <c r="C29" t="s">
        <v>389</v>
      </c>
      <c r="D29" t="s">
        <v>388</v>
      </c>
      <c r="E29" t="s">
        <v>454</v>
      </c>
      <c r="F29" t="s">
        <v>455</v>
      </c>
    </row>
    <row r="30" spans="1:11" x14ac:dyDescent="0.35">
      <c r="A30" t="s">
        <v>266</v>
      </c>
      <c r="B30" t="s">
        <v>395</v>
      </c>
      <c r="C30" t="s">
        <v>393</v>
      </c>
      <c r="D30">
        <v>30</v>
      </c>
      <c r="E30" t="s">
        <v>456</v>
      </c>
      <c r="F30" t="s">
        <v>457</v>
      </c>
    </row>
    <row r="31" spans="1:11" x14ac:dyDescent="0.35">
      <c r="A31" t="s">
        <v>276</v>
      </c>
      <c r="B31" t="s">
        <v>395</v>
      </c>
      <c r="C31" t="s">
        <v>393</v>
      </c>
      <c r="D31">
        <v>40</v>
      </c>
      <c r="E31" t="s">
        <v>458</v>
      </c>
      <c r="F31" t="s">
        <v>459</v>
      </c>
    </row>
    <row r="32" spans="1:11" x14ac:dyDescent="0.35">
      <c r="A32" t="s">
        <v>283</v>
      </c>
      <c r="B32" t="s">
        <v>400</v>
      </c>
      <c r="C32" t="s">
        <v>393</v>
      </c>
      <c r="D32">
        <v>89</v>
      </c>
      <c r="E32" t="s">
        <v>460</v>
      </c>
      <c r="F32" t="s">
        <v>461</v>
      </c>
    </row>
    <row r="33" spans="1:6" x14ac:dyDescent="0.35">
      <c r="A33" t="s">
        <v>292</v>
      </c>
      <c r="B33" t="s">
        <v>397</v>
      </c>
      <c r="C33" t="s">
        <v>393</v>
      </c>
      <c r="D33">
        <v>40</v>
      </c>
      <c r="E33" t="s">
        <v>462</v>
      </c>
      <c r="F33" t="s">
        <v>463</v>
      </c>
    </row>
    <row r="35" spans="1:6" x14ac:dyDescent="0.35">
      <c r="A35" t="s">
        <v>464</v>
      </c>
    </row>
    <row r="36" spans="1:6" x14ac:dyDescent="0.35">
      <c r="A36" t="s">
        <v>373</v>
      </c>
      <c r="B36" t="s">
        <v>429</v>
      </c>
      <c r="C36" t="s">
        <v>430</v>
      </c>
      <c r="D36" t="s">
        <v>431</v>
      </c>
      <c r="E36" t="s">
        <v>432</v>
      </c>
      <c r="F36" t="s">
        <v>433</v>
      </c>
    </row>
    <row r="37" spans="1:6" x14ac:dyDescent="0.35">
      <c r="A37" t="s">
        <v>331</v>
      </c>
      <c r="B37" t="s">
        <v>465</v>
      </c>
      <c r="C37" t="s">
        <v>466</v>
      </c>
      <c r="D37" t="s">
        <v>467</v>
      </c>
      <c r="E37" t="s">
        <v>468</v>
      </c>
      <c r="F37" t="s">
        <v>469</v>
      </c>
    </row>
    <row r="38" spans="1:6" x14ac:dyDescent="0.35">
      <c r="A38" t="s">
        <v>341</v>
      </c>
      <c r="B38" t="s">
        <v>470</v>
      </c>
      <c r="C38" t="s">
        <v>445</v>
      </c>
      <c r="D38" t="s">
        <v>471</v>
      </c>
      <c r="E38" t="s">
        <v>472</v>
      </c>
      <c r="F38" t="s">
        <v>473</v>
      </c>
    </row>
    <row r="40" spans="1:6" x14ac:dyDescent="0.35">
      <c r="A40" t="s">
        <v>474</v>
      </c>
    </row>
    <row r="41" spans="1:6" x14ac:dyDescent="0.35">
      <c r="A41" t="s">
        <v>373</v>
      </c>
      <c r="B41" t="s">
        <v>383</v>
      </c>
      <c r="C41" t="s">
        <v>389</v>
      </c>
      <c r="D41" t="s">
        <v>388</v>
      </c>
      <c r="E41" t="s">
        <v>454</v>
      </c>
      <c r="F41" t="s">
        <v>455</v>
      </c>
    </row>
    <row r="42" spans="1:6" x14ac:dyDescent="0.35">
      <c r="A42" t="s">
        <v>349</v>
      </c>
      <c r="B42" t="s">
        <v>395</v>
      </c>
      <c r="C42" t="s">
        <v>393</v>
      </c>
      <c r="D42">
        <v>40</v>
      </c>
      <c r="E42" t="s">
        <v>475</v>
      </c>
      <c r="F42" t="s">
        <v>476</v>
      </c>
    </row>
    <row r="43" spans="1:6" x14ac:dyDescent="0.35">
      <c r="A43" t="s">
        <v>357</v>
      </c>
      <c r="B43" t="s">
        <v>400</v>
      </c>
      <c r="C43" t="s">
        <v>393</v>
      </c>
      <c r="D43">
        <v>89</v>
      </c>
      <c r="E43" t="s">
        <v>477</v>
      </c>
      <c r="F43" t="s">
        <v>478</v>
      </c>
    </row>
    <row r="44" spans="1:6" x14ac:dyDescent="0.35">
      <c r="A44" t="s">
        <v>365</v>
      </c>
      <c r="B44" t="s">
        <v>397</v>
      </c>
      <c r="C44" t="s">
        <v>393</v>
      </c>
      <c r="D44">
        <v>40</v>
      </c>
      <c r="E44" t="s">
        <v>479</v>
      </c>
      <c r="F44" t="s">
        <v>480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zoomScaleNormal="100" workbookViewId="0"/>
  </sheetViews>
  <sheetFormatPr defaultColWidth="8.6328125" defaultRowHeight="14.5" x14ac:dyDescent="0.35"/>
  <sheetData>
    <row r="1" spans="1:14" x14ac:dyDescent="0.35">
      <c r="A1" t="s">
        <v>16</v>
      </c>
      <c r="B1" t="s">
        <v>481</v>
      </c>
      <c r="C1" t="s">
        <v>1</v>
      </c>
      <c r="D1" t="s">
        <v>482</v>
      </c>
      <c r="E1" t="s">
        <v>483</v>
      </c>
      <c r="F1" t="s">
        <v>484</v>
      </c>
      <c r="G1" t="s">
        <v>485</v>
      </c>
      <c r="H1" t="s">
        <v>486</v>
      </c>
      <c r="I1" t="s">
        <v>487</v>
      </c>
      <c r="J1" t="s">
        <v>488</v>
      </c>
      <c r="K1" t="s">
        <v>489</v>
      </c>
      <c r="L1" t="s">
        <v>490</v>
      </c>
      <c r="M1" t="s">
        <v>491</v>
      </c>
      <c r="N1" t="s">
        <v>492</v>
      </c>
    </row>
    <row r="2" spans="1:14" ht="232" x14ac:dyDescent="0.35">
      <c r="A2" t="s">
        <v>79</v>
      </c>
      <c r="B2" t="s">
        <v>493</v>
      </c>
      <c r="C2" t="s">
        <v>21</v>
      </c>
      <c r="D2" t="s">
        <v>70</v>
      </c>
      <c r="E2" t="s">
        <v>494</v>
      </c>
      <c r="F2" s="3" t="s">
        <v>495</v>
      </c>
      <c r="G2" t="s">
        <v>496</v>
      </c>
      <c r="H2" t="s">
        <v>497</v>
      </c>
      <c r="I2" t="s">
        <v>498</v>
      </c>
      <c r="J2" t="s">
        <v>55</v>
      </c>
      <c r="K2" t="s">
        <v>499</v>
      </c>
      <c r="L2" t="s">
        <v>500</v>
      </c>
      <c r="M2" t="s">
        <v>501</v>
      </c>
      <c r="N2" t="s">
        <v>502</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
  <sheetViews>
    <sheetView zoomScaleNormal="100" workbookViewId="0"/>
  </sheetViews>
  <sheetFormatPr defaultColWidth="8.6328125" defaultRowHeight="14.5" x14ac:dyDescent="0.35"/>
  <sheetData>
    <row r="1" spans="1:10" x14ac:dyDescent="0.35">
      <c r="A1" t="s">
        <v>503</v>
      </c>
      <c r="B1" t="s">
        <v>504</v>
      </c>
      <c r="C1" t="s">
        <v>505</v>
      </c>
      <c r="D1" t="s">
        <v>506</v>
      </c>
      <c r="E1" t="s">
        <v>507</v>
      </c>
      <c r="F1" t="s">
        <v>508</v>
      </c>
      <c r="G1" t="s">
        <v>509</v>
      </c>
      <c r="H1" t="s">
        <v>510</v>
      </c>
      <c r="I1" t="s">
        <v>511</v>
      </c>
      <c r="J1" t="s">
        <v>512</v>
      </c>
    </row>
    <row r="2" spans="1:10" x14ac:dyDescent="0.35">
      <c r="A2">
        <v>1</v>
      </c>
      <c r="B2" t="s">
        <v>513</v>
      </c>
      <c r="C2" t="s">
        <v>514</v>
      </c>
      <c r="D2" t="s">
        <v>515</v>
      </c>
      <c r="E2" t="s">
        <v>516</v>
      </c>
      <c r="F2" t="s">
        <v>517</v>
      </c>
      <c r="G2" t="s">
        <v>518</v>
      </c>
      <c r="H2" t="s">
        <v>519</v>
      </c>
      <c r="I2" t="s">
        <v>520</v>
      </c>
      <c r="J2" t="s">
        <v>521</v>
      </c>
    </row>
    <row r="3" spans="1:10" x14ac:dyDescent="0.35">
      <c r="A3">
        <v>2</v>
      </c>
      <c r="B3" t="s">
        <v>522</v>
      </c>
      <c r="C3" t="s">
        <v>523</v>
      </c>
      <c r="D3" t="s">
        <v>515</v>
      </c>
      <c r="E3" t="s">
        <v>524</v>
      </c>
      <c r="F3" t="s">
        <v>525</v>
      </c>
      <c r="G3" t="s">
        <v>526</v>
      </c>
      <c r="H3" t="s">
        <v>527</v>
      </c>
      <c r="I3" t="s">
        <v>528</v>
      </c>
      <c r="J3" t="s">
        <v>529</v>
      </c>
    </row>
    <row r="4" spans="1:10" x14ac:dyDescent="0.35">
      <c r="A4">
        <v>3</v>
      </c>
      <c r="B4" t="s">
        <v>522</v>
      </c>
      <c r="C4" t="s">
        <v>530</v>
      </c>
      <c r="D4" t="s">
        <v>531</v>
      </c>
      <c r="E4" t="s">
        <v>532</v>
      </c>
      <c r="F4" t="s">
        <v>533</v>
      </c>
      <c r="G4" t="s">
        <v>534</v>
      </c>
      <c r="H4" t="s">
        <v>527</v>
      </c>
      <c r="I4" t="s">
        <v>535</v>
      </c>
      <c r="J4" t="s">
        <v>536</v>
      </c>
    </row>
    <row r="5" spans="1:10" x14ac:dyDescent="0.35">
      <c r="A5">
        <v>4</v>
      </c>
      <c r="B5" t="s">
        <v>537</v>
      </c>
      <c r="C5" t="s">
        <v>530</v>
      </c>
      <c r="D5" t="s">
        <v>531</v>
      </c>
      <c r="E5" t="s">
        <v>538</v>
      </c>
      <c r="F5" t="s">
        <v>539</v>
      </c>
      <c r="G5" t="s">
        <v>540</v>
      </c>
      <c r="H5" t="s">
        <v>541</v>
      </c>
      <c r="I5" t="s">
        <v>542</v>
      </c>
      <c r="J5" t="s">
        <v>543</v>
      </c>
    </row>
    <row r="6" spans="1:10" x14ac:dyDescent="0.35">
      <c r="A6">
        <v>5</v>
      </c>
      <c r="B6" t="s">
        <v>544</v>
      </c>
      <c r="C6" t="s">
        <v>545</v>
      </c>
      <c r="D6" t="s">
        <v>531</v>
      </c>
      <c r="E6" t="s">
        <v>546</v>
      </c>
      <c r="F6" t="s">
        <v>547</v>
      </c>
      <c r="G6" t="s">
        <v>548</v>
      </c>
      <c r="H6" t="s">
        <v>527</v>
      </c>
      <c r="I6" t="s">
        <v>549</v>
      </c>
      <c r="J6" t="s">
        <v>550</v>
      </c>
    </row>
    <row r="7" spans="1:10" x14ac:dyDescent="0.35">
      <c r="A7">
        <v>6</v>
      </c>
      <c r="B7" t="s">
        <v>501</v>
      </c>
      <c r="C7" t="s">
        <v>551</v>
      </c>
      <c r="D7" t="s">
        <v>552</v>
      </c>
      <c r="E7" t="s">
        <v>553</v>
      </c>
      <c r="F7" t="s">
        <v>554</v>
      </c>
      <c r="G7" t="s">
        <v>555</v>
      </c>
      <c r="H7" t="s">
        <v>556</v>
      </c>
      <c r="I7" t="s">
        <v>557</v>
      </c>
      <c r="J7" t="s">
        <v>558</v>
      </c>
    </row>
    <row r="8" spans="1:10" x14ac:dyDescent="0.35">
      <c r="A8">
        <v>7</v>
      </c>
      <c r="B8" t="s">
        <v>501</v>
      </c>
      <c r="C8" t="s">
        <v>559</v>
      </c>
      <c r="D8" t="s">
        <v>560</v>
      </c>
      <c r="E8" t="s">
        <v>561</v>
      </c>
      <c r="F8" t="s">
        <v>562</v>
      </c>
    </row>
    <row r="9" spans="1:10" x14ac:dyDescent="0.35">
      <c r="A9">
        <v>8</v>
      </c>
      <c r="B9" t="s">
        <v>501</v>
      </c>
      <c r="C9" t="s">
        <v>545</v>
      </c>
      <c r="D9" t="s">
        <v>563</v>
      </c>
      <c r="E9" t="s">
        <v>564</v>
      </c>
      <c r="F9" t="s">
        <v>565</v>
      </c>
      <c r="G9" t="s">
        <v>566</v>
      </c>
      <c r="H9" t="s">
        <v>567</v>
      </c>
      <c r="I9" t="s">
        <v>568</v>
      </c>
      <c r="J9" t="s">
        <v>569</v>
      </c>
    </row>
    <row r="10" spans="1:10" x14ac:dyDescent="0.35">
      <c r="A10">
        <v>9</v>
      </c>
      <c r="B10" t="s">
        <v>501</v>
      </c>
      <c r="C10" t="s">
        <v>570</v>
      </c>
      <c r="D10" t="s">
        <v>531</v>
      </c>
      <c r="E10" t="s">
        <v>571</v>
      </c>
      <c r="F10" t="s">
        <v>572</v>
      </c>
      <c r="G10" t="s">
        <v>573</v>
      </c>
      <c r="H10" t="s">
        <v>574</v>
      </c>
      <c r="I10" t="s">
        <v>575</v>
      </c>
      <c r="J10" t="s">
        <v>576</v>
      </c>
    </row>
    <row r="11" spans="1:10" x14ac:dyDescent="0.35">
      <c r="A11">
        <v>10</v>
      </c>
      <c r="B11" t="s">
        <v>501</v>
      </c>
      <c r="C11" t="s">
        <v>577</v>
      </c>
      <c r="D11" t="s">
        <v>531</v>
      </c>
      <c r="E11" t="s">
        <v>578</v>
      </c>
      <c r="F11" t="s">
        <v>579</v>
      </c>
      <c r="G11" t="s">
        <v>580</v>
      </c>
      <c r="H11" t="s">
        <v>581</v>
      </c>
      <c r="I11" t="s">
        <v>582</v>
      </c>
      <c r="J11" t="s">
        <v>583</v>
      </c>
    </row>
    <row r="12" spans="1:10" x14ac:dyDescent="0.35">
      <c r="A12">
        <v>11</v>
      </c>
      <c r="B12" t="s">
        <v>584</v>
      </c>
      <c r="C12" t="s">
        <v>585</v>
      </c>
      <c r="D12" t="s">
        <v>531</v>
      </c>
      <c r="E12" t="s">
        <v>586</v>
      </c>
      <c r="F12" t="s">
        <v>587</v>
      </c>
      <c r="G12" t="s">
        <v>588</v>
      </c>
      <c r="H12" t="s">
        <v>581</v>
      </c>
      <c r="I12" t="s">
        <v>589</v>
      </c>
      <c r="J12" t="s">
        <v>590</v>
      </c>
    </row>
    <row r="13" spans="1:10" x14ac:dyDescent="0.35">
      <c r="A13">
        <v>12</v>
      </c>
      <c r="B13" t="s">
        <v>584</v>
      </c>
      <c r="C13" t="s">
        <v>545</v>
      </c>
      <c r="D13" t="s">
        <v>531</v>
      </c>
      <c r="E13" t="s">
        <v>591</v>
      </c>
      <c r="F13" t="s">
        <v>592</v>
      </c>
      <c r="G13" t="s">
        <v>593</v>
      </c>
      <c r="H13" t="s">
        <v>594</v>
      </c>
      <c r="I13" t="s">
        <v>595</v>
      </c>
      <c r="J13" t="s">
        <v>596</v>
      </c>
    </row>
    <row r="14" spans="1:10" x14ac:dyDescent="0.35">
      <c r="A14">
        <v>13</v>
      </c>
      <c r="B14" t="s">
        <v>584</v>
      </c>
      <c r="C14" t="s">
        <v>597</v>
      </c>
      <c r="D14" t="s">
        <v>598</v>
      </c>
      <c r="E14" t="s">
        <v>599</v>
      </c>
      <c r="F14" t="s">
        <v>600</v>
      </c>
      <c r="G14" t="s">
        <v>601</v>
      </c>
      <c r="H14" t="s">
        <v>602</v>
      </c>
      <c r="I14" t="s">
        <v>603</v>
      </c>
      <c r="J14" t="s">
        <v>604</v>
      </c>
    </row>
    <row r="15" spans="1:10" x14ac:dyDescent="0.35">
      <c r="A15">
        <v>14</v>
      </c>
      <c r="B15" t="s">
        <v>34</v>
      </c>
      <c r="C15" t="s">
        <v>605</v>
      </c>
      <c r="D15" t="s">
        <v>606</v>
      </c>
      <c r="E15" t="s">
        <v>607</v>
      </c>
      <c r="F15" t="s">
        <v>608</v>
      </c>
      <c r="G15" t="s">
        <v>609</v>
      </c>
      <c r="H15" t="s">
        <v>527</v>
      </c>
      <c r="I15" t="s">
        <v>610</v>
      </c>
      <c r="J15" t="s">
        <v>611</v>
      </c>
    </row>
    <row r="16" spans="1:10" x14ac:dyDescent="0.35">
      <c r="A16">
        <v>15</v>
      </c>
      <c r="B16" t="s">
        <v>34</v>
      </c>
      <c r="C16" t="s">
        <v>612</v>
      </c>
      <c r="D16" t="s">
        <v>531</v>
      </c>
      <c r="E16" t="s">
        <v>613</v>
      </c>
      <c r="F16" t="s">
        <v>614</v>
      </c>
      <c r="G16" t="s">
        <v>615</v>
      </c>
      <c r="H16" t="s">
        <v>602</v>
      </c>
      <c r="I16" t="s">
        <v>616</v>
      </c>
      <c r="J16" t="s">
        <v>617</v>
      </c>
    </row>
    <row r="17" spans="1:10" x14ac:dyDescent="0.35">
      <c r="A17">
        <v>16</v>
      </c>
      <c r="B17" t="s">
        <v>34</v>
      </c>
      <c r="C17" t="s">
        <v>618</v>
      </c>
      <c r="D17" t="s">
        <v>531</v>
      </c>
      <c r="E17" t="s">
        <v>619</v>
      </c>
      <c r="F17" t="s">
        <v>620</v>
      </c>
      <c r="G17" t="s">
        <v>621</v>
      </c>
      <c r="H17" t="s">
        <v>622</v>
      </c>
      <c r="I17" t="s">
        <v>623</v>
      </c>
      <c r="J17" t="s">
        <v>624</v>
      </c>
    </row>
    <row r="18" spans="1:10" x14ac:dyDescent="0.35">
      <c r="A18">
        <v>17</v>
      </c>
      <c r="B18" t="s">
        <v>34</v>
      </c>
      <c r="C18" t="s">
        <v>625</v>
      </c>
      <c r="D18" t="s">
        <v>531</v>
      </c>
      <c r="E18" t="s">
        <v>626</v>
      </c>
      <c r="F18" t="s">
        <v>627</v>
      </c>
      <c r="G18" t="s">
        <v>628</v>
      </c>
      <c r="H18" t="s">
        <v>602</v>
      </c>
      <c r="I18" t="s">
        <v>629</v>
      </c>
      <c r="J18" t="s">
        <v>630</v>
      </c>
    </row>
    <row r="19" spans="1:10" x14ac:dyDescent="0.35">
      <c r="A19">
        <v>18</v>
      </c>
      <c r="B19" t="s">
        <v>310</v>
      </c>
      <c r="C19" t="s">
        <v>631</v>
      </c>
      <c r="D19" t="s">
        <v>606</v>
      </c>
      <c r="E19" t="s">
        <v>632</v>
      </c>
      <c r="F19" t="s">
        <v>633</v>
      </c>
      <c r="G19" t="s">
        <v>634</v>
      </c>
      <c r="H19" t="s">
        <v>602</v>
      </c>
      <c r="I19" t="s">
        <v>635</v>
      </c>
      <c r="J19" t="s">
        <v>636</v>
      </c>
    </row>
    <row r="20" spans="1:10" x14ac:dyDescent="0.35">
      <c r="A20">
        <v>19</v>
      </c>
      <c r="B20" t="s">
        <v>310</v>
      </c>
      <c r="C20" t="s">
        <v>570</v>
      </c>
      <c r="D20" t="s">
        <v>606</v>
      </c>
      <c r="E20" t="s">
        <v>637</v>
      </c>
      <c r="F20" t="s">
        <v>638</v>
      </c>
      <c r="G20" t="s">
        <v>639</v>
      </c>
      <c r="H20" t="s">
        <v>602</v>
      </c>
      <c r="I20" t="s">
        <v>640</v>
      </c>
      <c r="J20" t="s">
        <v>641</v>
      </c>
    </row>
    <row r="21" spans="1:10" x14ac:dyDescent="0.35">
      <c r="A21">
        <v>20</v>
      </c>
      <c r="B21" t="s">
        <v>310</v>
      </c>
      <c r="C21" t="s">
        <v>642</v>
      </c>
      <c r="D21" t="s">
        <v>643</v>
      </c>
      <c r="E21" t="s">
        <v>644</v>
      </c>
      <c r="F21" t="s">
        <v>645</v>
      </c>
      <c r="G21" t="s">
        <v>646</v>
      </c>
      <c r="H21" t="s">
        <v>602</v>
      </c>
      <c r="I21" t="s">
        <v>647</v>
      </c>
      <c r="J21" t="s">
        <v>648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zoomScaleNormal="100" workbookViewId="0"/>
  </sheetViews>
  <sheetFormatPr defaultColWidth="8.6328125" defaultRowHeight="14.5" x14ac:dyDescent="0.35"/>
  <sheetData>
    <row r="1" spans="1:10" x14ac:dyDescent="0.35">
      <c r="A1" t="s">
        <v>1</v>
      </c>
      <c r="B1" t="s">
        <v>2</v>
      </c>
      <c r="C1" t="s">
        <v>649</v>
      </c>
      <c r="D1" t="s">
        <v>650</v>
      </c>
      <c r="E1" t="s">
        <v>27</v>
      </c>
      <c r="F1" t="s">
        <v>227</v>
      </c>
      <c r="G1" t="s">
        <v>651</v>
      </c>
      <c r="H1" t="s">
        <v>652</v>
      </c>
      <c r="I1" t="s">
        <v>232</v>
      </c>
      <c r="J1" t="s">
        <v>653</v>
      </c>
    </row>
    <row r="2" spans="1:10" x14ac:dyDescent="0.35">
      <c r="A2" t="s">
        <v>21</v>
      </c>
      <c r="B2" t="s">
        <v>22</v>
      </c>
      <c r="C2" t="s">
        <v>654</v>
      </c>
      <c r="D2">
        <f>COUNTIF('Test Cases'!$C:$C, B2)</f>
        <v>7</v>
      </c>
      <c r="E2">
        <f>COUNTIFS('Test Cases'!$C:$C, B2, 'Test Cases'!$H:$H, "Auto")</f>
        <v>7</v>
      </c>
      <c r="F2">
        <f>COUNTIFS('Test Cases'!$C:$C, B2, 'Test Cases'!$H:$H, "Manual")</f>
        <v>0</v>
      </c>
      <c r="G2">
        <f>COUNTIFS('Test Cases'!$C:$C, B2, 'Test Cases'!$N:$N, "Pass")</f>
        <v>6</v>
      </c>
      <c r="H2">
        <f>COUNTIFS('Test Cases'!$C:$C, B2, 'Test Cases'!$N:$N, "Fail")</f>
        <v>1</v>
      </c>
      <c r="I2">
        <f>COUNTIFS('Test Cases'!$C:$C, B2, 'Test Cases'!$N:$N, "Not Run")</f>
        <v>0</v>
      </c>
      <c r="J2" s="4">
        <f t="shared" ref="J2:J15" si="0">IF(D2&gt;0, G2/D2, 0)</f>
        <v>0.8571428571428571</v>
      </c>
    </row>
    <row r="3" spans="1:10" x14ac:dyDescent="0.35">
      <c r="A3" t="s">
        <v>21</v>
      </c>
      <c r="B3" t="s">
        <v>90</v>
      </c>
      <c r="C3" t="s">
        <v>655</v>
      </c>
      <c r="D3">
        <f>COUNTIF('Test Cases'!$C:$C, B3)</f>
        <v>1</v>
      </c>
      <c r="E3">
        <f>COUNTIFS('Test Cases'!$C:$C, B3, 'Test Cases'!$H:$H, "Auto")</f>
        <v>1</v>
      </c>
      <c r="F3">
        <f>COUNTIFS('Test Cases'!$C:$C, B3, 'Test Cases'!$H:$H, "Manual")</f>
        <v>0</v>
      </c>
      <c r="G3">
        <f>COUNTIFS('Test Cases'!$C:$C, B3, 'Test Cases'!$N:$N, "Pass")</f>
        <v>1</v>
      </c>
      <c r="H3">
        <f>COUNTIFS('Test Cases'!$C:$C, B3, 'Test Cases'!$N:$N, "Fail")</f>
        <v>0</v>
      </c>
      <c r="I3">
        <f>COUNTIFS('Test Cases'!$C:$C, B3, 'Test Cases'!$N:$N, "Not Run")</f>
        <v>0</v>
      </c>
      <c r="J3" s="4">
        <f t="shared" si="0"/>
        <v>1</v>
      </c>
    </row>
    <row r="4" spans="1:10" x14ac:dyDescent="0.35">
      <c r="A4" t="s">
        <v>21</v>
      </c>
      <c r="B4" t="s">
        <v>102</v>
      </c>
      <c r="C4" t="s">
        <v>656</v>
      </c>
      <c r="D4">
        <f>COUNTIF('Test Cases'!$C:$C, B4)</f>
        <v>3</v>
      </c>
      <c r="E4">
        <f>COUNTIFS('Test Cases'!$C:$C, B4, 'Test Cases'!$H:$H, "Auto")</f>
        <v>3</v>
      </c>
      <c r="F4">
        <f>COUNTIFS('Test Cases'!$C:$C, B4, 'Test Cases'!$H:$H, "Manual")</f>
        <v>0</v>
      </c>
      <c r="G4">
        <f>COUNTIFS('Test Cases'!$C:$C, B4, 'Test Cases'!$N:$N, "Pass")</f>
        <v>3</v>
      </c>
      <c r="H4">
        <f>COUNTIFS('Test Cases'!$C:$C, B4, 'Test Cases'!$N:$N, "Fail")</f>
        <v>0</v>
      </c>
      <c r="I4">
        <f>COUNTIFS('Test Cases'!$C:$C, B4, 'Test Cases'!$N:$N, "Not Run")</f>
        <v>0</v>
      </c>
      <c r="J4" s="4">
        <f t="shared" si="0"/>
        <v>1</v>
      </c>
    </row>
    <row r="5" spans="1:10" x14ac:dyDescent="0.35">
      <c r="A5" t="s">
        <v>21</v>
      </c>
      <c r="B5" t="s">
        <v>130</v>
      </c>
      <c r="C5" t="s">
        <v>657</v>
      </c>
      <c r="D5">
        <f>COUNTIF('Test Cases'!$C:$C, B5)</f>
        <v>1</v>
      </c>
      <c r="E5">
        <f>COUNTIFS('Test Cases'!$C:$C, B5, 'Test Cases'!$H:$H, "Auto")</f>
        <v>1</v>
      </c>
      <c r="F5">
        <f>COUNTIFS('Test Cases'!$C:$C, B5, 'Test Cases'!$H:$H, "Manual")</f>
        <v>0</v>
      </c>
      <c r="G5">
        <f>COUNTIFS('Test Cases'!$C:$C, B5, 'Test Cases'!$N:$N, "Pass")</f>
        <v>1</v>
      </c>
      <c r="H5">
        <f>COUNTIFS('Test Cases'!$C:$C, B5, 'Test Cases'!$N:$N, "Fail")</f>
        <v>0</v>
      </c>
      <c r="I5">
        <f>COUNTIFS('Test Cases'!$C:$C, B5, 'Test Cases'!$N:$N, "Not Run")</f>
        <v>0</v>
      </c>
      <c r="J5" s="4">
        <f t="shared" si="0"/>
        <v>1</v>
      </c>
    </row>
    <row r="6" spans="1:10" x14ac:dyDescent="0.35">
      <c r="A6" s="5" t="s">
        <v>658</v>
      </c>
      <c r="B6" s="5" t="s">
        <v>659</v>
      </c>
      <c r="C6" s="5" t="s">
        <v>660</v>
      </c>
      <c r="D6" s="5">
        <f t="shared" ref="D6:I6" si="1">SUM(D2:D5)</f>
        <v>12</v>
      </c>
      <c r="E6" s="5">
        <f t="shared" si="1"/>
        <v>12</v>
      </c>
      <c r="F6" s="5">
        <f t="shared" si="1"/>
        <v>0</v>
      </c>
      <c r="G6" s="5">
        <f t="shared" si="1"/>
        <v>11</v>
      </c>
      <c r="H6" s="5">
        <f t="shared" si="1"/>
        <v>1</v>
      </c>
      <c r="I6" s="5">
        <f t="shared" si="1"/>
        <v>0</v>
      </c>
      <c r="J6" s="6">
        <f t="shared" si="0"/>
        <v>0.91666666666666663</v>
      </c>
    </row>
    <row r="7" spans="1:10" x14ac:dyDescent="0.35">
      <c r="A7" t="s">
        <v>661</v>
      </c>
      <c r="B7" t="s">
        <v>141</v>
      </c>
      <c r="C7" t="s">
        <v>662</v>
      </c>
      <c r="D7">
        <f>COUNTIF('Test Cases'!$C:$C, B7)</f>
        <v>7</v>
      </c>
      <c r="E7">
        <f>COUNTIFS('Test Cases'!$C:$C, B7, 'Test Cases'!$H:$H, "Auto")</f>
        <v>7</v>
      </c>
      <c r="F7">
        <f>COUNTIFS('Test Cases'!$C:$C, B7, 'Test Cases'!$H:$H, "Manual")</f>
        <v>0</v>
      </c>
      <c r="G7">
        <f>COUNTIFS('Test Cases'!$C:$C, B7, 'Test Cases'!$N:$N, "Pass")</f>
        <v>7</v>
      </c>
      <c r="H7">
        <f>COUNTIFS('Test Cases'!$C:$C, B7, 'Test Cases'!$N:$N, "Fail")</f>
        <v>0</v>
      </c>
      <c r="I7">
        <f>COUNTIFS('Test Cases'!$C:$C, B7, 'Test Cases'!$N:$N, "Not Run")</f>
        <v>0</v>
      </c>
      <c r="J7" s="4">
        <f t="shared" si="0"/>
        <v>1</v>
      </c>
    </row>
    <row r="8" spans="1:10" x14ac:dyDescent="0.35">
      <c r="A8" t="s">
        <v>661</v>
      </c>
      <c r="B8" t="s">
        <v>190</v>
      </c>
      <c r="C8" t="s">
        <v>663</v>
      </c>
      <c r="D8">
        <f>COUNTIF('Test Cases'!$C:$C, B8)</f>
        <v>3</v>
      </c>
      <c r="E8">
        <f>COUNTIFS('Test Cases'!$C:$C, B8, 'Test Cases'!$H:$H, "Auto")</f>
        <v>3</v>
      </c>
      <c r="F8">
        <f>COUNTIFS('Test Cases'!$C:$C, B8, 'Test Cases'!$H:$H, "Manual")</f>
        <v>0</v>
      </c>
      <c r="G8">
        <f>COUNTIFS('Test Cases'!$C:$C, B8, 'Test Cases'!$N:$N, "Pass")</f>
        <v>3</v>
      </c>
      <c r="H8">
        <f>COUNTIFS('Test Cases'!$C:$C, B8, 'Test Cases'!$N:$N, "Fail")</f>
        <v>0</v>
      </c>
      <c r="I8">
        <f>COUNTIFS('Test Cases'!$C:$C, B8, 'Test Cases'!$N:$N, "Not Run")</f>
        <v>0</v>
      </c>
      <c r="J8" s="4">
        <f t="shared" si="0"/>
        <v>1</v>
      </c>
    </row>
    <row r="9" spans="1:10" x14ac:dyDescent="0.35">
      <c r="A9" t="s">
        <v>661</v>
      </c>
      <c r="B9" t="s">
        <v>223</v>
      </c>
      <c r="C9" t="s">
        <v>664</v>
      </c>
      <c r="D9">
        <f>COUNTIF('Test Cases'!$C:$C, B9)</f>
        <v>6</v>
      </c>
      <c r="E9">
        <f>COUNTIFS('Test Cases'!$C:$C, B9, 'Test Cases'!$H:$H, "Auto")</f>
        <v>0</v>
      </c>
      <c r="F9">
        <f>COUNTIFS('Test Cases'!$C:$C, B9, 'Test Cases'!$H:$H, "Manual")</f>
        <v>6</v>
      </c>
      <c r="G9">
        <f>COUNTIFS('Test Cases'!$C:$C, B9, 'Test Cases'!$N:$N, "Pass")</f>
        <v>0</v>
      </c>
      <c r="H9">
        <f>COUNTIFS('Test Cases'!$C:$C, B9, 'Test Cases'!$N:$N, "Fail")</f>
        <v>0</v>
      </c>
      <c r="I9">
        <f>COUNTIFS('Test Cases'!$C:$C, B9, 'Test Cases'!$N:$N, "Not Run")</f>
        <v>6</v>
      </c>
      <c r="J9" s="4">
        <f t="shared" si="0"/>
        <v>0</v>
      </c>
    </row>
    <row r="10" spans="1:10" x14ac:dyDescent="0.35">
      <c r="A10" s="5" t="s">
        <v>665</v>
      </c>
      <c r="B10" s="5" t="s">
        <v>666</v>
      </c>
      <c r="C10" s="5" t="s">
        <v>667</v>
      </c>
      <c r="D10" s="5">
        <f t="shared" ref="D10:I10" si="2">SUM(D7:D9)</f>
        <v>16</v>
      </c>
      <c r="E10" s="5">
        <f t="shared" si="2"/>
        <v>10</v>
      </c>
      <c r="F10" s="5">
        <f t="shared" si="2"/>
        <v>6</v>
      </c>
      <c r="G10" s="5">
        <f t="shared" si="2"/>
        <v>10</v>
      </c>
      <c r="H10" s="5">
        <f t="shared" si="2"/>
        <v>0</v>
      </c>
      <c r="I10" s="5">
        <f t="shared" si="2"/>
        <v>6</v>
      </c>
      <c r="J10" s="6">
        <f t="shared" si="0"/>
        <v>0.625</v>
      </c>
    </row>
    <row r="11" spans="1:10" x14ac:dyDescent="0.35">
      <c r="A11" t="s">
        <v>210</v>
      </c>
      <c r="B11" t="s">
        <v>211</v>
      </c>
      <c r="C11" t="s">
        <v>668</v>
      </c>
      <c r="D11">
        <f>COUNTIF('Test Cases'!$C:$C, B11)</f>
        <v>1</v>
      </c>
      <c r="E11">
        <f>COUNTIFS('Test Cases'!$C:$C, B11, 'Test Cases'!$H:$H, "Auto")</f>
        <v>1</v>
      </c>
      <c r="F11">
        <f>COUNTIFS('Test Cases'!$C:$C, B11, 'Test Cases'!$H:$H, "Manual")</f>
        <v>0</v>
      </c>
      <c r="G11">
        <f>COUNTIFS('Test Cases'!$C:$C, B11, 'Test Cases'!$N:$N, "Pass")</f>
        <v>1</v>
      </c>
      <c r="H11">
        <f>COUNTIFS('Test Cases'!$C:$C, B11, 'Test Cases'!$N:$N, "Fail")</f>
        <v>0</v>
      </c>
      <c r="I11">
        <f>COUNTIFS('Test Cases'!$C:$C, B11, 'Test Cases'!$N:$N, "Not Run")</f>
        <v>0</v>
      </c>
      <c r="J11" s="4">
        <f t="shared" si="0"/>
        <v>1</v>
      </c>
    </row>
    <row r="12" spans="1:10" x14ac:dyDescent="0.35">
      <c r="A12" t="s">
        <v>210</v>
      </c>
      <c r="B12" t="s">
        <v>267</v>
      </c>
      <c r="C12" t="s">
        <v>268</v>
      </c>
      <c r="D12">
        <f>COUNTIF('Test Cases'!$C:$C, B12)</f>
        <v>5</v>
      </c>
      <c r="E12">
        <f>COUNTIFS('Test Cases'!$C:$C, B12, 'Test Cases'!$H:$H, "Auto")</f>
        <v>0</v>
      </c>
      <c r="F12">
        <f>COUNTIFS('Test Cases'!$C:$C, B12, 'Test Cases'!$H:$H, "Manual")</f>
        <v>5</v>
      </c>
      <c r="G12">
        <f>COUNTIFS('Test Cases'!$C:$C, B12, 'Test Cases'!$N:$N, "Pass")</f>
        <v>0</v>
      </c>
      <c r="H12">
        <f>COUNTIFS('Test Cases'!$C:$C, B12, 'Test Cases'!$N:$N, "Fail")</f>
        <v>0</v>
      </c>
      <c r="I12">
        <f>COUNTIFS('Test Cases'!$C:$C, B12, 'Test Cases'!$N:$N, "Not Run")</f>
        <v>5</v>
      </c>
      <c r="J12" s="4">
        <f t="shared" si="0"/>
        <v>0</v>
      </c>
    </row>
    <row r="13" spans="1:10" x14ac:dyDescent="0.35">
      <c r="A13" t="s">
        <v>210</v>
      </c>
      <c r="B13" t="s">
        <v>293</v>
      </c>
      <c r="C13" t="s">
        <v>294</v>
      </c>
      <c r="D13">
        <f>COUNTIF('Test Cases'!$C:$C, B13)</f>
        <v>2</v>
      </c>
      <c r="E13">
        <f>COUNTIFS('Test Cases'!$C:$C, B13, 'Test Cases'!$H:$H, "Auto")</f>
        <v>0</v>
      </c>
      <c r="F13">
        <f>COUNTIFS('Test Cases'!$C:$C, B13, 'Test Cases'!$H:$H, "Manual")</f>
        <v>2</v>
      </c>
      <c r="G13">
        <f>COUNTIFS('Test Cases'!$C:$C, B13, 'Test Cases'!$N:$N, "Pass")</f>
        <v>0</v>
      </c>
      <c r="H13">
        <f>COUNTIFS('Test Cases'!$C:$C, B13, 'Test Cases'!$N:$N, "Fail")</f>
        <v>0</v>
      </c>
      <c r="I13">
        <f>COUNTIFS('Test Cases'!$C:$C, B13, 'Test Cases'!$N:$N, "Not Run")</f>
        <v>2</v>
      </c>
      <c r="J13" s="4">
        <f t="shared" si="0"/>
        <v>0</v>
      </c>
    </row>
    <row r="14" spans="1:10" x14ac:dyDescent="0.35">
      <c r="A14" s="5" t="s">
        <v>669</v>
      </c>
      <c r="B14" s="5" t="s">
        <v>670</v>
      </c>
      <c r="C14" s="5" t="s">
        <v>671</v>
      </c>
      <c r="D14" s="5">
        <f t="shared" ref="D14:I14" si="3">SUM(D11:D13)</f>
        <v>8</v>
      </c>
      <c r="E14" s="5">
        <f t="shared" si="3"/>
        <v>1</v>
      </c>
      <c r="F14" s="5">
        <f t="shared" si="3"/>
        <v>7</v>
      </c>
      <c r="G14" s="5">
        <f t="shared" si="3"/>
        <v>1</v>
      </c>
      <c r="H14" s="5">
        <f t="shared" si="3"/>
        <v>0</v>
      </c>
      <c r="I14" s="5">
        <f t="shared" si="3"/>
        <v>7</v>
      </c>
      <c r="J14" s="6">
        <f t="shared" si="0"/>
        <v>0.125</v>
      </c>
    </row>
    <row r="15" spans="1:10" x14ac:dyDescent="0.35">
      <c r="A15" s="5" t="s">
        <v>672</v>
      </c>
      <c r="B15" s="5" t="s">
        <v>673</v>
      </c>
      <c r="C15" s="5" t="s">
        <v>674</v>
      </c>
      <c r="D15" s="5">
        <f t="shared" ref="D15:I15" si="4">D6+D10+D14</f>
        <v>36</v>
      </c>
      <c r="E15" s="5">
        <f t="shared" si="4"/>
        <v>23</v>
      </c>
      <c r="F15" s="5">
        <f t="shared" si="4"/>
        <v>13</v>
      </c>
      <c r="G15" s="5">
        <f t="shared" si="4"/>
        <v>22</v>
      </c>
      <c r="H15" s="5">
        <f t="shared" si="4"/>
        <v>1</v>
      </c>
      <c r="I15" s="5">
        <f t="shared" si="4"/>
        <v>13</v>
      </c>
      <c r="J15" s="6">
        <f t="shared" si="0"/>
        <v>0.61111111111111116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37"/>
  <sheetViews>
    <sheetView zoomScaleNormal="100" workbookViewId="0"/>
  </sheetViews>
  <sheetFormatPr defaultColWidth="8.6328125" defaultRowHeight="14.5" x14ac:dyDescent="0.35"/>
  <sheetData>
    <row r="1" spans="1:9" x14ac:dyDescent="0.35">
      <c r="A1" t="s">
        <v>675</v>
      </c>
      <c r="B1" t="s">
        <v>676</v>
      </c>
      <c r="C1" t="s">
        <v>2</v>
      </c>
      <c r="D1" t="s">
        <v>649</v>
      </c>
      <c r="E1" t="s">
        <v>3</v>
      </c>
      <c r="F1" t="s">
        <v>0</v>
      </c>
      <c r="G1" t="s">
        <v>677</v>
      </c>
      <c r="H1" t="s">
        <v>678</v>
      </c>
      <c r="I1" t="s">
        <v>489</v>
      </c>
    </row>
    <row r="2" spans="1:9" x14ac:dyDescent="0.35">
      <c r="A2" t="s">
        <v>679</v>
      </c>
      <c r="B2" t="s">
        <v>680</v>
      </c>
      <c r="C2" t="s">
        <v>22</v>
      </c>
      <c r="D2" t="s">
        <v>654</v>
      </c>
      <c r="E2" t="s">
        <v>23</v>
      </c>
      <c r="F2" t="s">
        <v>20</v>
      </c>
      <c r="G2" t="s">
        <v>24</v>
      </c>
      <c r="H2" t="s">
        <v>27</v>
      </c>
      <c r="I2" t="s">
        <v>33</v>
      </c>
    </row>
    <row r="3" spans="1:9" x14ac:dyDescent="0.35">
      <c r="A3" t="s">
        <v>679</v>
      </c>
      <c r="B3" t="s">
        <v>680</v>
      </c>
      <c r="C3" t="s">
        <v>22</v>
      </c>
      <c r="D3" t="s">
        <v>654</v>
      </c>
      <c r="E3" t="s">
        <v>23</v>
      </c>
      <c r="F3" t="s">
        <v>38</v>
      </c>
      <c r="G3" t="s">
        <v>39</v>
      </c>
      <c r="H3" t="s">
        <v>27</v>
      </c>
      <c r="I3" t="s">
        <v>33</v>
      </c>
    </row>
    <row r="4" spans="1:9" x14ac:dyDescent="0.35">
      <c r="A4" t="s">
        <v>679</v>
      </c>
      <c r="B4" t="s">
        <v>680</v>
      </c>
      <c r="C4" t="s">
        <v>22</v>
      </c>
      <c r="D4" t="s">
        <v>654</v>
      </c>
      <c r="E4" t="s">
        <v>46</v>
      </c>
      <c r="F4" t="s">
        <v>45</v>
      </c>
      <c r="G4" t="s">
        <v>47</v>
      </c>
      <c r="H4" t="s">
        <v>27</v>
      </c>
      <c r="I4" t="s">
        <v>33</v>
      </c>
    </row>
    <row r="5" spans="1:9" x14ac:dyDescent="0.35">
      <c r="A5" t="s">
        <v>679</v>
      </c>
      <c r="B5" t="s">
        <v>680</v>
      </c>
      <c r="C5" t="s">
        <v>22</v>
      </c>
      <c r="D5" t="s">
        <v>654</v>
      </c>
      <c r="E5" t="s">
        <v>46</v>
      </c>
      <c r="F5" t="s">
        <v>53</v>
      </c>
      <c r="G5" t="s">
        <v>54</v>
      </c>
      <c r="H5" t="s">
        <v>27</v>
      </c>
      <c r="I5" t="s">
        <v>33</v>
      </c>
    </row>
    <row r="6" spans="1:9" x14ac:dyDescent="0.35">
      <c r="A6" t="s">
        <v>679</v>
      </c>
      <c r="B6" t="s">
        <v>680</v>
      </c>
      <c r="C6" t="s">
        <v>22</v>
      </c>
      <c r="D6" t="s">
        <v>654</v>
      </c>
      <c r="E6" t="s">
        <v>62</v>
      </c>
      <c r="F6" t="s">
        <v>61</v>
      </c>
      <c r="G6" t="s">
        <v>63</v>
      </c>
      <c r="H6" t="s">
        <v>27</v>
      </c>
      <c r="I6" t="s">
        <v>33</v>
      </c>
    </row>
    <row r="7" spans="1:9" x14ac:dyDescent="0.35">
      <c r="A7" t="s">
        <v>679</v>
      </c>
      <c r="B7" t="s">
        <v>680</v>
      </c>
      <c r="C7" t="s">
        <v>22</v>
      </c>
      <c r="D7" t="s">
        <v>654</v>
      </c>
      <c r="E7" t="s">
        <v>71</v>
      </c>
      <c r="F7" t="s">
        <v>70</v>
      </c>
      <c r="G7" t="s">
        <v>72</v>
      </c>
      <c r="H7" t="s">
        <v>27</v>
      </c>
      <c r="I7" t="s">
        <v>77</v>
      </c>
    </row>
    <row r="8" spans="1:9" x14ac:dyDescent="0.35">
      <c r="A8" t="s">
        <v>679</v>
      </c>
      <c r="B8" t="s">
        <v>680</v>
      </c>
      <c r="C8" t="s">
        <v>22</v>
      </c>
      <c r="D8" t="s">
        <v>654</v>
      </c>
      <c r="E8" t="s">
        <v>82</v>
      </c>
      <c r="F8" t="s">
        <v>81</v>
      </c>
      <c r="G8" t="s">
        <v>83</v>
      </c>
      <c r="H8" t="s">
        <v>27</v>
      </c>
      <c r="I8" t="s">
        <v>33</v>
      </c>
    </row>
    <row r="9" spans="1:9" x14ac:dyDescent="0.35">
      <c r="A9" t="s">
        <v>679</v>
      </c>
      <c r="B9" t="s">
        <v>680</v>
      </c>
      <c r="C9" t="s">
        <v>90</v>
      </c>
      <c r="D9" t="s">
        <v>655</v>
      </c>
      <c r="E9" t="s">
        <v>91</v>
      </c>
      <c r="F9" t="s">
        <v>89</v>
      </c>
      <c r="G9" t="s">
        <v>92</v>
      </c>
      <c r="H9" t="s">
        <v>27</v>
      </c>
      <c r="I9" t="s">
        <v>33</v>
      </c>
    </row>
    <row r="10" spans="1:9" x14ac:dyDescent="0.35">
      <c r="A10" t="s">
        <v>679</v>
      </c>
      <c r="B10" t="s">
        <v>680</v>
      </c>
      <c r="C10" t="s">
        <v>102</v>
      </c>
      <c r="D10" t="s">
        <v>656</v>
      </c>
      <c r="E10" t="s">
        <v>103</v>
      </c>
      <c r="F10" t="s">
        <v>101</v>
      </c>
      <c r="G10" t="s">
        <v>104</v>
      </c>
      <c r="H10" t="s">
        <v>27</v>
      </c>
      <c r="I10" t="s">
        <v>33</v>
      </c>
    </row>
    <row r="11" spans="1:9" x14ac:dyDescent="0.35">
      <c r="A11" t="s">
        <v>679</v>
      </c>
      <c r="B11" t="s">
        <v>680</v>
      </c>
      <c r="C11" t="s">
        <v>102</v>
      </c>
      <c r="D11" t="s">
        <v>656</v>
      </c>
      <c r="E11" t="s">
        <v>112</v>
      </c>
      <c r="F11" t="s">
        <v>111</v>
      </c>
      <c r="G11" t="s">
        <v>113</v>
      </c>
      <c r="H11" t="s">
        <v>27</v>
      </c>
      <c r="I11" t="s">
        <v>33</v>
      </c>
    </row>
    <row r="12" spans="1:9" x14ac:dyDescent="0.35">
      <c r="A12" t="s">
        <v>679</v>
      </c>
      <c r="B12" t="s">
        <v>680</v>
      </c>
      <c r="C12" t="s">
        <v>102</v>
      </c>
      <c r="D12" t="s">
        <v>656</v>
      </c>
      <c r="E12" t="s">
        <v>121</v>
      </c>
      <c r="F12" t="s">
        <v>120</v>
      </c>
      <c r="G12" t="s">
        <v>122</v>
      </c>
      <c r="H12" t="s">
        <v>27</v>
      </c>
      <c r="I12" t="s">
        <v>33</v>
      </c>
    </row>
    <row r="13" spans="1:9" x14ac:dyDescent="0.35">
      <c r="A13" t="s">
        <v>679</v>
      </c>
      <c r="B13" t="s">
        <v>680</v>
      </c>
      <c r="C13" t="s">
        <v>130</v>
      </c>
      <c r="D13" t="s">
        <v>657</v>
      </c>
      <c r="E13" t="s">
        <v>131</v>
      </c>
      <c r="F13" t="s">
        <v>129</v>
      </c>
      <c r="G13" t="s">
        <v>132</v>
      </c>
      <c r="H13" t="s">
        <v>27</v>
      </c>
      <c r="I13" t="s">
        <v>33</v>
      </c>
    </row>
    <row r="14" spans="1:9" x14ac:dyDescent="0.35">
      <c r="A14" t="s">
        <v>151</v>
      </c>
      <c r="B14" t="s">
        <v>681</v>
      </c>
      <c r="C14" t="s">
        <v>141</v>
      </c>
      <c r="D14" t="s">
        <v>662</v>
      </c>
      <c r="E14" t="s">
        <v>142</v>
      </c>
      <c r="F14" t="s">
        <v>139</v>
      </c>
      <c r="G14" t="s">
        <v>143</v>
      </c>
      <c r="H14" t="s">
        <v>27</v>
      </c>
      <c r="I14" t="s">
        <v>33</v>
      </c>
    </row>
    <row r="15" spans="1:9" x14ac:dyDescent="0.35">
      <c r="A15" t="s">
        <v>151</v>
      </c>
      <c r="B15" t="s">
        <v>681</v>
      </c>
      <c r="C15" t="s">
        <v>141</v>
      </c>
      <c r="D15" t="s">
        <v>662</v>
      </c>
      <c r="E15" t="s">
        <v>153</v>
      </c>
      <c r="F15" t="s">
        <v>152</v>
      </c>
      <c r="G15" t="s">
        <v>154</v>
      </c>
      <c r="H15" t="s">
        <v>27</v>
      </c>
      <c r="I15" t="s">
        <v>33</v>
      </c>
    </row>
    <row r="16" spans="1:9" x14ac:dyDescent="0.35">
      <c r="A16" t="s">
        <v>151</v>
      </c>
      <c r="B16" t="s">
        <v>681</v>
      </c>
      <c r="C16" t="s">
        <v>141</v>
      </c>
      <c r="D16" t="s">
        <v>662</v>
      </c>
      <c r="E16" t="s">
        <v>162</v>
      </c>
      <c r="F16" t="s">
        <v>161</v>
      </c>
      <c r="G16" t="s">
        <v>163</v>
      </c>
      <c r="H16" t="s">
        <v>27</v>
      </c>
      <c r="I16" t="s">
        <v>33</v>
      </c>
    </row>
    <row r="17" spans="1:9" x14ac:dyDescent="0.35">
      <c r="A17" t="s">
        <v>151</v>
      </c>
      <c r="B17" t="s">
        <v>681</v>
      </c>
      <c r="C17" t="s">
        <v>141</v>
      </c>
      <c r="D17" t="s">
        <v>662</v>
      </c>
      <c r="E17" t="s">
        <v>171</v>
      </c>
      <c r="F17" t="s">
        <v>170</v>
      </c>
      <c r="G17" t="s">
        <v>172</v>
      </c>
      <c r="H17" t="s">
        <v>27</v>
      </c>
      <c r="I17" t="s">
        <v>33</v>
      </c>
    </row>
    <row r="18" spans="1:9" x14ac:dyDescent="0.35">
      <c r="A18" t="s">
        <v>151</v>
      </c>
      <c r="B18" t="s">
        <v>681</v>
      </c>
      <c r="C18" t="s">
        <v>141</v>
      </c>
      <c r="D18" t="s">
        <v>662</v>
      </c>
      <c r="E18" t="s">
        <v>181</v>
      </c>
      <c r="F18" t="s">
        <v>180</v>
      </c>
      <c r="G18" t="s">
        <v>182</v>
      </c>
      <c r="H18" t="s">
        <v>27</v>
      </c>
      <c r="I18" t="s">
        <v>33</v>
      </c>
    </row>
    <row r="19" spans="1:9" x14ac:dyDescent="0.35">
      <c r="A19" t="s">
        <v>151</v>
      </c>
      <c r="B19" t="s">
        <v>681</v>
      </c>
      <c r="C19" t="s">
        <v>190</v>
      </c>
      <c r="D19" t="s">
        <v>663</v>
      </c>
      <c r="E19" t="s">
        <v>191</v>
      </c>
      <c r="F19" t="s">
        <v>189</v>
      </c>
      <c r="G19" t="s">
        <v>192</v>
      </c>
      <c r="H19" t="s">
        <v>27</v>
      </c>
      <c r="I19" t="s">
        <v>33</v>
      </c>
    </row>
    <row r="20" spans="1:9" x14ac:dyDescent="0.35">
      <c r="A20" t="s">
        <v>151</v>
      </c>
      <c r="B20" t="s">
        <v>681</v>
      </c>
      <c r="C20" t="s">
        <v>190</v>
      </c>
      <c r="D20" t="s">
        <v>663</v>
      </c>
      <c r="E20" t="s">
        <v>202</v>
      </c>
      <c r="F20" t="s">
        <v>200</v>
      </c>
      <c r="G20" t="s">
        <v>203</v>
      </c>
      <c r="H20" t="s">
        <v>27</v>
      </c>
      <c r="I20" t="s">
        <v>33</v>
      </c>
    </row>
    <row r="21" spans="1:9" x14ac:dyDescent="0.35">
      <c r="A21" t="s">
        <v>682</v>
      </c>
      <c r="B21" t="s">
        <v>683</v>
      </c>
      <c r="C21" t="s">
        <v>211</v>
      </c>
      <c r="D21" t="s">
        <v>668</v>
      </c>
      <c r="E21" t="s">
        <v>212</v>
      </c>
      <c r="F21" t="s">
        <v>209</v>
      </c>
      <c r="G21" t="s">
        <v>213</v>
      </c>
      <c r="H21" t="s">
        <v>27</v>
      </c>
      <c r="I21" t="s">
        <v>33</v>
      </c>
    </row>
    <row r="22" spans="1:9" x14ac:dyDescent="0.35">
      <c r="A22" t="s">
        <v>151</v>
      </c>
      <c r="B22" t="s">
        <v>681</v>
      </c>
      <c r="C22" t="s">
        <v>223</v>
      </c>
      <c r="D22" t="s">
        <v>664</v>
      </c>
      <c r="E22" t="s">
        <v>224</v>
      </c>
      <c r="F22" t="s">
        <v>222</v>
      </c>
      <c r="G22" t="s">
        <v>225</v>
      </c>
      <c r="H22" t="s">
        <v>227</v>
      </c>
      <c r="I22" t="s">
        <v>232</v>
      </c>
    </row>
    <row r="23" spans="1:9" x14ac:dyDescent="0.35">
      <c r="A23" t="s">
        <v>151</v>
      </c>
      <c r="B23" t="s">
        <v>681</v>
      </c>
      <c r="C23" t="s">
        <v>223</v>
      </c>
      <c r="D23" t="s">
        <v>664</v>
      </c>
      <c r="E23" t="s">
        <v>237</v>
      </c>
      <c r="F23" t="s">
        <v>236</v>
      </c>
      <c r="G23" t="s">
        <v>238</v>
      </c>
      <c r="H23" t="s">
        <v>227</v>
      </c>
      <c r="I23" t="s">
        <v>232</v>
      </c>
    </row>
    <row r="24" spans="1:9" x14ac:dyDescent="0.35">
      <c r="A24" t="s">
        <v>151</v>
      </c>
      <c r="B24" t="s">
        <v>681</v>
      </c>
      <c r="C24" t="s">
        <v>223</v>
      </c>
      <c r="D24" t="s">
        <v>664</v>
      </c>
      <c r="E24" t="s">
        <v>247</v>
      </c>
      <c r="F24" t="s">
        <v>246</v>
      </c>
      <c r="G24" t="s">
        <v>248</v>
      </c>
      <c r="H24" t="s">
        <v>227</v>
      </c>
      <c r="I24" t="s">
        <v>232</v>
      </c>
    </row>
    <row r="25" spans="1:9" x14ac:dyDescent="0.35">
      <c r="A25" t="s">
        <v>151</v>
      </c>
      <c r="B25" t="s">
        <v>681</v>
      </c>
      <c r="C25" t="s">
        <v>223</v>
      </c>
      <c r="D25" t="s">
        <v>664</v>
      </c>
      <c r="E25" t="s">
        <v>257</v>
      </c>
      <c r="F25" t="s">
        <v>256</v>
      </c>
      <c r="G25" t="s">
        <v>258</v>
      </c>
      <c r="H25" t="s">
        <v>227</v>
      </c>
      <c r="I25" t="s">
        <v>232</v>
      </c>
    </row>
    <row r="26" spans="1:9" x14ac:dyDescent="0.35">
      <c r="A26" t="s">
        <v>682</v>
      </c>
      <c r="B26" t="s">
        <v>683</v>
      </c>
      <c r="C26" t="s">
        <v>267</v>
      </c>
      <c r="D26" t="s">
        <v>268</v>
      </c>
      <c r="E26" t="s">
        <v>268</v>
      </c>
      <c r="F26" t="s">
        <v>266</v>
      </c>
      <c r="G26" t="s">
        <v>269</v>
      </c>
      <c r="H26" t="s">
        <v>227</v>
      </c>
      <c r="I26" t="s">
        <v>232</v>
      </c>
    </row>
    <row r="27" spans="1:9" x14ac:dyDescent="0.35">
      <c r="A27" t="s">
        <v>682</v>
      </c>
      <c r="B27" t="s">
        <v>683</v>
      </c>
      <c r="C27" t="s">
        <v>267</v>
      </c>
      <c r="D27" t="s">
        <v>268</v>
      </c>
      <c r="E27" t="s">
        <v>268</v>
      </c>
      <c r="F27" t="s">
        <v>276</v>
      </c>
      <c r="G27" t="s">
        <v>277</v>
      </c>
      <c r="H27" t="s">
        <v>227</v>
      </c>
      <c r="I27" t="s">
        <v>232</v>
      </c>
    </row>
    <row r="28" spans="1:9" x14ac:dyDescent="0.35">
      <c r="A28" t="s">
        <v>682</v>
      </c>
      <c r="B28" t="s">
        <v>683</v>
      </c>
      <c r="C28" t="s">
        <v>267</v>
      </c>
      <c r="D28" t="s">
        <v>268</v>
      </c>
      <c r="E28" t="s">
        <v>284</v>
      </c>
      <c r="F28" t="s">
        <v>283</v>
      </c>
      <c r="G28" t="s">
        <v>285</v>
      </c>
      <c r="H28" t="s">
        <v>227</v>
      </c>
      <c r="I28" t="s">
        <v>232</v>
      </c>
    </row>
    <row r="29" spans="1:9" x14ac:dyDescent="0.35">
      <c r="A29" t="s">
        <v>682</v>
      </c>
      <c r="B29" t="s">
        <v>683</v>
      </c>
      <c r="C29" t="s">
        <v>293</v>
      </c>
      <c r="D29" t="s">
        <v>294</v>
      </c>
      <c r="E29" t="s">
        <v>294</v>
      </c>
      <c r="F29" t="s">
        <v>292</v>
      </c>
      <c r="G29" t="s">
        <v>295</v>
      </c>
      <c r="H29" t="s">
        <v>227</v>
      </c>
      <c r="I29" t="s">
        <v>232</v>
      </c>
    </row>
    <row r="30" spans="1:9" x14ac:dyDescent="0.35">
      <c r="A30" t="s">
        <v>151</v>
      </c>
      <c r="B30" t="s">
        <v>681</v>
      </c>
      <c r="C30" t="s">
        <v>141</v>
      </c>
      <c r="D30" t="s">
        <v>662</v>
      </c>
      <c r="E30" t="s">
        <v>302</v>
      </c>
      <c r="F30" t="s">
        <v>301</v>
      </c>
      <c r="G30" t="s">
        <v>303</v>
      </c>
      <c r="H30" t="s">
        <v>27</v>
      </c>
      <c r="I30" t="s">
        <v>33</v>
      </c>
    </row>
    <row r="31" spans="1:9" x14ac:dyDescent="0.35">
      <c r="A31" t="s">
        <v>151</v>
      </c>
      <c r="B31" t="s">
        <v>681</v>
      </c>
      <c r="C31" t="s">
        <v>141</v>
      </c>
      <c r="D31" t="s">
        <v>662</v>
      </c>
      <c r="E31" t="s">
        <v>314</v>
      </c>
      <c r="F31" t="s">
        <v>313</v>
      </c>
      <c r="G31" t="s">
        <v>315</v>
      </c>
      <c r="H31" t="s">
        <v>27</v>
      </c>
      <c r="I31" t="s">
        <v>33</v>
      </c>
    </row>
    <row r="32" spans="1:9" x14ac:dyDescent="0.35">
      <c r="A32" t="s">
        <v>151</v>
      </c>
      <c r="B32" t="s">
        <v>681</v>
      </c>
      <c r="C32" t="s">
        <v>190</v>
      </c>
      <c r="D32" t="s">
        <v>663</v>
      </c>
      <c r="E32" t="s">
        <v>322</v>
      </c>
      <c r="F32" t="s">
        <v>321</v>
      </c>
      <c r="G32" t="s">
        <v>323</v>
      </c>
      <c r="H32" t="s">
        <v>27</v>
      </c>
      <c r="I32" t="s">
        <v>33</v>
      </c>
    </row>
    <row r="33" spans="1:9" x14ac:dyDescent="0.35">
      <c r="A33" t="s">
        <v>151</v>
      </c>
      <c r="B33" t="s">
        <v>681</v>
      </c>
      <c r="C33" t="s">
        <v>223</v>
      </c>
      <c r="D33" t="s">
        <v>664</v>
      </c>
      <c r="E33" t="s">
        <v>332</v>
      </c>
      <c r="F33" t="s">
        <v>331</v>
      </c>
      <c r="G33" t="s">
        <v>333</v>
      </c>
      <c r="H33" t="s">
        <v>227</v>
      </c>
      <c r="I33" t="s">
        <v>232</v>
      </c>
    </row>
    <row r="34" spans="1:9" x14ac:dyDescent="0.35">
      <c r="A34" t="s">
        <v>151</v>
      </c>
      <c r="B34" t="s">
        <v>681</v>
      </c>
      <c r="C34" t="s">
        <v>223</v>
      </c>
      <c r="D34" t="s">
        <v>664</v>
      </c>
      <c r="E34" t="s">
        <v>342</v>
      </c>
      <c r="F34" t="s">
        <v>341</v>
      </c>
      <c r="G34" t="s">
        <v>343</v>
      </c>
      <c r="H34" t="s">
        <v>227</v>
      </c>
      <c r="I34" t="s">
        <v>232</v>
      </c>
    </row>
    <row r="35" spans="1:9" x14ac:dyDescent="0.35">
      <c r="A35" t="s">
        <v>682</v>
      </c>
      <c r="B35" t="s">
        <v>683</v>
      </c>
      <c r="C35" t="s">
        <v>267</v>
      </c>
      <c r="D35" t="s">
        <v>268</v>
      </c>
      <c r="E35" t="s">
        <v>350</v>
      </c>
      <c r="F35" t="s">
        <v>349</v>
      </c>
      <c r="G35" t="s">
        <v>351</v>
      </c>
      <c r="H35" t="s">
        <v>227</v>
      </c>
      <c r="I35" t="s">
        <v>232</v>
      </c>
    </row>
    <row r="36" spans="1:9" x14ac:dyDescent="0.35">
      <c r="A36" t="s">
        <v>682</v>
      </c>
      <c r="B36" t="s">
        <v>683</v>
      </c>
      <c r="C36" t="s">
        <v>267</v>
      </c>
      <c r="D36" t="s">
        <v>268</v>
      </c>
      <c r="E36" t="s">
        <v>358</v>
      </c>
      <c r="F36" t="s">
        <v>357</v>
      </c>
      <c r="G36" t="s">
        <v>359</v>
      </c>
      <c r="H36" t="s">
        <v>227</v>
      </c>
      <c r="I36" t="s">
        <v>232</v>
      </c>
    </row>
    <row r="37" spans="1:9" x14ac:dyDescent="0.35">
      <c r="A37" t="s">
        <v>682</v>
      </c>
      <c r="B37" t="s">
        <v>683</v>
      </c>
      <c r="C37" t="s">
        <v>293</v>
      </c>
      <c r="D37" t="s">
        <v>294</v>
      </c>
      <c r="E37" t="s">
        <v>366</v>
      </c>
      <c r="F37" t="s">
        <v>365</v>
      </c>
      <c r="G37" t="s">
        <v>367</v>
      </c>
      <c r="H37" t="s">
        <v>227</v>
      </c>
      <c r="I37" t="s">
        <v>232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DolibarrTests</dc:creator>
  <cp:keywords>EPPlus noncommercial use</cp:keywords>
  <dc:description>This workbook has been created with EPPlus licensed to DolibarrTests under The Polyform Noncommercial License: See https://polyformproject.org/licenses/noncommercial/1.0.0</dc:description>
  <cp:lastModifiedBy>2273201081640 - NGÔ NGỌC THỦY - 71K28QHCC24</cp:lastModifiedBy>
  <cp:revision>0</cp:revision>
  <dcterms:created xsi:type="dcterms:W3CDTF">2026-09-24T10:29:59Z</dcterms:created>
  <dcterms:modified xsi:type="dcterms:W3CDTF">2026-10-08T03:06:12Z</dcterms:modified>
  <dc:language>en-US</dc:language>
</cp:coreProperties>
</file>