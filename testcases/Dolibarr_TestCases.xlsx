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90" yWindow="1060" windowWidth="14400" windowHeight="7360" tabRatio="6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definedNames/>
  <calcPr calcId="18102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Calibri"/>
      <b val="1"/>
      <color rgb="FFFFFFFF"/>
      <sz val="10"/>
    </font>
    <font>
      <name val="Calibri"/>
      <b val="1"/>
      <sz val="11"/>
    </font>
  </fonts>
  <fills count="3">
    <fill>
      <patternFill/>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xf numFmtId="164" fontId="0" fillId="0" borderId="0" pivotButton="0" quotePrefix="0" xfId="0"/>
    <xf numFmtId="0" fontId="2" fillId="0" borderId="0" pivotButton="0" quotePrefix="0" xfId="0"/>
    <xf numFmtId="164" fontId="2"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32"/>
  <sheetViews>
    <sheetView tabSelected="1" workbookViewId="0">
      <selection activeCell="A1" sqref="A1"/>
    </sheetView>
  </sheetViews>
  <sheetFormatPr baseColWidth="8" defaultRowHeight="14.5"/>
  <cols>
    <col width="12" customWidth="1" min="1" max="1"/>
    <col width="10" customWidth="1" min="2" max="2"/>
    <col width="12" customWidth="1" min="3" max="3"/>
    <col width="25" customWidth="1" min="4" max="4"/>
    <col width="35" customWidth="1" min="5" max="5"/>
    <col width="12" customWidth="1" min="6" max="6"/>
    <col width="8" customWidth="1" min="7" max="8"/>
    <col width="30" customWidth="1" min="9" max="9"/>
    <col width="45" customWidth="1" min="10" max="10"/>
    <col width="50" customWidth="1" min="11" max="11"/>
    <col width="55" customWidth="1" min="12" max="12"/>
    <col width="20" customWidth="1" min="13" max="13"/>
    <col width="12" customWidth="1" min="14" max="15"/>
    <col width="20" customWidth="1" min="16" max="16"/>
    <col width="10" customWidth="1" min="17" max="17"/>
    <col width="40" customWidth="1" min="18" max="18"/>
    <col width="18" customWidth="1" min="19" max="19"/>
  </cols>
  <sheetData>
    <row r="1" ht="28" customHeight="1">
      <c r="A1" s="1" t="inlineStr">
        <is>
          <t>Test ID</t>
        </is>
      </c>
      <c r="B1" s="1" t="inlineStr">
        <is>
          <t>Module</t>
        </is>
      </c>
      <c r="C1" s="1" t="inlineStr">
        <is>
          <t>Function ID</t>
        </is>
      </c>
      <c r="D1" s="1" t="inlineStr">
        <is>
          <t>Scenario</t>
        </is>
      </c>
      <c r="E1" s="1" t="inlineStr">
        <is>
          <t>Tieu de</t>
        </is>
      </c>
      <c r="F1" s="1" t="inlineStr">
        <is>
          <t>Ky thuat</t>
        </is>
      </c>
      <c r="G1" s="1" t="inlineStr">
        <is>
          <t>Uu tien</t>
        </is>
      </c>
      <c r="H1" s="1" t="inlineStr">
        <is>
          <t>Loai</t>
        </is>
      </c>
      <c r="I1" s="1" t="inlineStr">
        <is>
          <t>Tien dieu kien</t>
        </is>
      </c>
      <c r="J1" s="1" t="inlineStr">
        <is>
          <t>Cac buoc</t>
        </is>
      </c>
      <c r="K1" s="1" t="inlineStr">
        <is>
          <t>Test data</t>
        </is>
      </c>
      <c r="L1" s="1" t="inlineStr">
        <is>
          <t>Expected</t>
        </is>
      </c>
      <c r="M1" s="1" t="inlineStr">
        <is>
          <t>Actual</t>
        </is>
      </c>
      <c r="N1" s="1" t="inlineStr">
        <is>
          <t>Trang thai</t>
        </is>
      </c>
      <c r="O1" s="1" t="inlineStr">
        <is>
          <t>Ngay chay</t>
        </is>
      </c>
      <c r="P1" s="1" t="inlineStr">
        <is>
          <t>Minh chung</t>
        </is>
      </c>
      <c r="Q1" s="1" t="inlineStr">
        <is>
          <t>Bug ID</t>
        </is>
      </c>
      <c r="R1" s="1" t="inlineStr">
        <is>
          <t>Ghi chu</t>
        </is>
      </c>
      <c r="S1" s="1" t="inlineStr">
        <is>
          <t>Nguon</t>
        </is>
      </c>
      <c r="T1" t="inlineStr">
        <is>
          <t>Kết quả script tham khảo (không phải nghiệm thu)</t>
        </is>
      </c>
    </row>
    <row r="2" ht="80" customHeight="1">
      <c r="A2" s="2" t="inlineStr">
        <is>
          <t>TC_CRM_005</t>
        </is>
      </c>
      <c r="B2" s="2" t="inlineStr">
        <is>
          <t>CRM</t>
        </is>
      </c>
      <c r="C2" s="2" t="inlineStr">
        <is>
          <t>F-CRM-01</t>
        </is>
      </c>
      <c r="D2" s="2" t="inlineStr">
        <is>
          <t>Tao khach hang -- kiem tra bien ten (BVA)</t>
        </is>
      </c>
      <c r="E2" s="2" t="inlineStr">
        <is>
          <t>Tao khach hang voi ten dung 128 ky tu (gioi han toi da)</t>
        </is>
      </c>
      <c r="F2" s="2" t="inlineStr">
        <is>
          <t>BVA</t>
        </is>
      </c>
      <c r="G2" s="2" t="inlineStr">
        <is>
          <t>P1</t>
        </is>
      </c>
      <c r="H2" s="2" t="inlineStr">
        <is>
          <t>Auto</t>
        </is>
      </c>
      <c r="I2" s="2" t="inlineStr">
        <is>
          <t>Da dang nhap admin; trang Tao khach hang moi dang mo</t>
        </is>
      </c>
      <c r="J2" s="2" t="inlineStr">
        <is>
          <t>1. Mo http://localhost/dolibarr/societe/card.php?action=create
2. Nhap ten khach hang: data_005 (128 ky tu)
3. Chon loai: Khach hang
4. Nhan Luu</t>
        </is>
      </c>
      <c r="K2" s="2" t="inlineStr">
        <is>
          <t>TC005_XXXXXXXXXXXXXXXXXXXXXXXXXXXXXXXXXXXXXXXXXXXXXXXXXXXXXXXXXXXXXXXXXXXXXXXXXXXXXXXXXXXXXXXXXXXXXXXXXXXXXXXXXXXXXXXXXXXXXXXXXX</t>
        </is>
      </c>
      <c r="L2" s="2" t="inlineStr">
        <is>
          <t>O ten nhan du 128 ky tu (khong bi cat); form luu thanh cong; trang chi tiet hien thi dung ten 128 ky tu; khong co thong bao loi.</t>
        </is>
      </c>
      <c r="M2" s="2" t="inlineStr">
        <is>
          <t>Form redirect về trang chi tiết (socid=89). Tên lưu thành công đủ 128 ký tự. Không có thông báo lỗi.</t>
        </is>
      </c>
      <c r="N2" s="2" t="inlineStr">
        <is>
          <t>Pass</t>
        </is>
      </c>
      <c r="O2" s="2" t="inlineStr">
        <is>
          <t>2026-10-07</t>
        </is>
      </c>
      <c r="P2" s="2" t="inlineStr">
        <is>
          <t>evidence/automation/TC_CRM_005.png; docs/test_run_acceptance_20261007.log</t>
        </is>
      </c>
      <c r="Q2" s="2" t="n"/>
      <c r="R2" s="2" t="inlineStr">
        <is>
          <t>Chạy trên mốc sạch dolibarr_clean, ngày 2026-10-07, tuần tự (DoNotParallelize)</t>
        </is>
      </c>
      <c r="S2" s="2" t="inlineStr">
        <is>
          <t>AI goi y-da chinh</t>
        </is>
      </c>
    </row>
    <row r="3" ht="100" customHeight="1">
      <c r="A3" s="2" t="inlineStr">
        <is>
          <t>TC_CRM_006</t>
        </is>
      </c>
      <c r="B3" s="2" t="inlineStr">
        <is>
          <t>CRM</t>
        </is>
      </c>
      <c r="C3" s="2" t="inlineStr">
        <is>
          <t>F-CRM-01</t>
        </is>
      </c>
      <c r="D3" s="2" t="inlineStr">
        <is>
          <t>Tao khach hang -- kiem tra bien ten (BVA)</t>
        </is>
      </c>
      <c r="E3" s="2" t="inlineStr">
        <is>
          <t>Nhap ten 129 ky tu vao o Ten khach hang (gioi han UI maxlength=128)</t>
        </is>
      </c>
      <c r="F3" s="2" t="inlineStr">
        <is>
          <t>BVA</t>
        </is>
      </c>
      <c r="G3" s="2" t="inlineStr">
        <is>
          <t>P1</t>
        </is>
      </c>
      <c r="H3" s="2" t="inlineStr">
        <is>
          <t>Auto</t>
        </is>
      </c>
      <c r="I3" s="2" t="inlineStr">
        <is>
          <t>Da dang nhap admin; trang Tao khach hang moi dang mo</t>
        </is>
      </c>
      <c r="J3" s="2" t="inlineStr">
        <is>
          <t>1. Mo http://localhost/dolibarr/societe/card.php?action=create
2. Dan chuoi data_006 (129 ky tu) vao o Ten khach hang
3. Quan sat do dai ky tu thuc te trong o sau khi nhap
4. Nhan Luu va ghi nhan ket qua</t>
        </is>
      </c>
      <c r="K3" s="2" t="inlineStr">
        <is>
          <t>TC006_XXXXXXXXXXXXXXXXXXXXXXXXXXXXXXXXXXXXXXXXXXXXXXXXXXXXXXXXXXXXXXXXXXXXXXXXXXXXXXXXXXXXXXXXXXXXXXXXXXXXXXXXXXXXXXXXXXXXXXXXXXX</t>
        </is>
      </c>
      <c r="L3" s="2" t="inlineStr">
        <is>
          <t>Trinh duyet tu cat con 128 ky tu (maxlength=128); ky tu thu 129 bi bo; form luu duoc voi ten 128 ky tu; khong bao loi.</t>
        </is>
      </c>
      <c r="M3" s="2" t="inlineStr">
        <is>
          <t>Thuộc tính maxlength='128'. Browser cắt chuỗi nhập còn đúng 128 ký tự. Form lưu thành công (socid=90).</t>
        </is>
      </c>
      <c r="N3" s="2" t="inlineStr">
        <is>
          <t>Pass</t>
        </is>
      </c>
      <c r="O3" s="2" t="inlineStr">
        <is>
          <t>2026-10-07</t>
        </is>
      </c>
      <c r="P3" s="2" t="inlineStr">
        <is>
          <t>evidence/automation/TC_CRM_006.png; docs/test_run_acceptance_20261007.log</t>
        </is>
      </c>
      <c r="Q3" s="2" t="n"/>
      <c r="R3" s="2" t="inlineStr">
        <is>
          <t>Chạy trên mốc sạch dolibarr_clean, ngày 2026-10-07, tuần tự (DoNotParallelize)</t>
        </is>
      </c>
      <c r="S3" s="2" t="inlineStr">
        <is>
          <t>AI goi y-da chinh</t>
        </is>
      </c>
    </row>
    <row r="4" ht="87" customHeight="1">
      <c r="A4" s="2" t="inlineStr">
        <is>
          <t>TC_CRM_007</t>
        </is>
      </c>
      <c r="B4" s="2" t="inlineStr">
        <is>
          <t>CRM</t>
        </is>
      </c>
      <c r="C4" s="2" t="inlineStr">
        <is>
          <t>F-CRM-01</t>
        </is>
      </c>
      <c r="D4" s="2" t="inlineStr">
        <is>
          <t>Tao khach hang -- kiem tra bien ten (BVA / EP)</t>
        </is>
      </c>
      <c r="E4" s="2" t="inlineStr">
        <is>
          <t>Tao khach hang voi ten de trong (khong nhap)</t>
        </is>
      </c>
      <c r="F4" s="2" t="inlineStr">
        <is>
          <t>BVA/EP</t>
        </is>
      </c>
      <c r="G4" s="2" t="inlineStr">
        <is>
          <t>P1</t>
        </is>
      </c>
      <c r="H4" s="2" t="inlineStr">
        <is>
          <t>Auto</t>
        </is>
      </c>
      <c r="I4" s="2" t="inlineStr">
        <is>
          <t>Da dang nhap admin; trang Tao khach hang moi dang mo</t>
        </is>
      </c>
      <c r="J4" s="2" t="inlineStr">
        <is>
          <t>1. Mo http://localhost/dolibarr/societe/card.php?action=create
2. De trong o Ten khach hang
3. Chon loai: Khach hang
4. Nhan Luu</t>
        </is>
      </c>
      <c r="K4" s="2" t="n"/>
      <c r="L4" s="2" t="inlineStr">
        <is>
          <t>Form khong the submit hoac hien thi thong bao loi 'truong bat buoc' tai o Ten; khach hang KHONG duoc tao trong DB.</t>
        </is>
      </c>
      <c r="M4" s="2" t="inlineStr">
        <is>
          <t>Thuộc tính required=False. Form không redirect, server chặn với thông báo lỗi: "Field 'Third-party name' is required".</t>
        </is>
      </c>
      <c r="N4" s="2" t="inlineStr">
        <is>
          <t>Pass</t>
        </is>
      </c>
      <c r="O4" s="2" t="inlineStr">
        <is>
          <t>2026-10-07</t>
        </is>
      </c>
      <c r="P4" s="2" t="inlineStr">
        <is>
          <t>evidence/automation/TC_CRM_007.png; docs/test_run_acceptance_20261007.log</t>
        </is>
      </c>
      <c r="Q4" s="2" t="n"/>
      <c r="R4" s="2" t="inlineStr">
        <is>
          <t>Chạy trên mốc sạch dolibarr_clean, ngày 2026-10-07, tuần tự (DoNotParallelize)</t>
        </is>
      </c>
      <c r="S4" s="2" t="inlineStr">
        <is>
          <t>AI goi y-da chinh</t>
        </is>
      </c>
    </row>
    <row r="5" ht="87" customHeight="1">
      <c r="A5" s="2" t="inlineStr">
        <is>
          <t>TC_CRM_008</t>
        </is>
      </c>
      <c r="B5" s="2" t="inlineStr">
        <is>
          <t>CRM</t>
        </is>
      </c>
      <c r="C5" s="2" t="inlineStr">
        <is>
          <t>F-CRM-01</t>
        </is>
      </c>
      <c r="D5" s="2" t="inlineStr">
        <is>
          <t>Tao khach hang -- kiem tra bien ten (BVA / EP)</t>
        </is>
      </c>
      <c r="E5" s="2" t="inlineStr">
        <is>
          <t>Tao khach hang voi ten dung 1 ky tu</t>
        </is>
      </c>
      <c r="F5" s="2" t="inlineStr">
        <is>
          <t>BVA</t>
        </is>
      </c>
      <c r="G5" s="2" t="inlineStr">
        <is>
          <t>P2</t>
        </is>
      </c>
      <c r="H5" s="2" t="inlineStr">
        <is>
          <t>Auto</t>
        </is>
      </c>
      <c r="I5" s="2" t="inlineStr">
        <is>
          <t>Da dang nhap admin; trang Tao khach hang moi dang mo</t>
        </is>
      </c>
      <c r="J5" s="2" t="inlineStr">
        <is>
          <t>1. Mo http://localhost/dolibarr/societe/card.php?action=create
2. Nhap ten khach hang: "A"
3. Chon loai: Khach hang
4. Nhan Luu</t>
        </is>
      </c>
      <c r="K5" s="2" t="inlineStr">
        <is>
          <t>A</t>
        </is>
      </c>
      <c r="L5" s="2" t="inlineStr">
        <is>
          <t>Luu thanh cong; trang chi tiet hien thi dung ten "A".</t>
        </is>
      </c>
      <c r="M5" s="2" t="inlineStr">
        <is>
          <t>Lưu thành công KH tên 1 ký tự 'A' (socid=91). Tên hiển thị trên trang chi tiết: 'A'. Không có lỗi.</t>
        </is>
      </c>
      <c r="N5" s="2" t="inlineStr">
        <is>
          <t>Pass</t>
        </is>
      </c>
      <c r="O5" s="2" t="inlineStr">
        <is>
          <t>2026-10-07</t>
        </is>
      </c>
      <c r="P5" s="2" t="inlineStr">
        <is>
          <t>evidence/automation/TC_CRM_008.png; docs/test_run_acceptance_20261007.log</t>
        </is>
      </c>
      <c r="Q5" s="2" t="n"/>
      <c r="R5" s="2" t="inlineStr">
        <is>
          <t>Chạy trên mốc sạch dolibarr_clean, ngày 2026-10-07, tuần tự (DoNotParallelize)</t>
        </is>
      </c>
      <c r="S5" s="2" t="inlineStr">
        <is>
          <t>AI goi y-da chinh</t>
        </is>
      </c>
    </row>
    <row r="6" ht="101.5" customHeight="1">
      <c r="A6" s="2" t="inlineStr">
        <is>
          <t>TC_CRM_009</t>
        </is>
      </c>
      <c r="B6" s="2" t="inlineStr">
        <is>
          <t>CRM</t>
        </is>
      </c>
      <c r="C6" s="2" t="inlineStr">
        <is>
          <t>F-CRM-01</t>
        </is>
      </c>
      <c r="D6" s="2" t="inlineStr">
        <is>
          <t>Tao khach hang -- kiem tra bien ten (EP)</t>
        </is>
      </c>
      <c r="E6" s="2" t="inlineStr">
        <is>
          <t>Tao khach hang voi ten chi gom khoang trang</t>
        </is>
      </c>
      <c r="F6" s="2" t="inlineStr">
        <is>
          <t>EP</t>
        </is>
      </c>
      <c r="G6" s="2" t="inlineStr">
        <is>
          <t>P2</t>
        </is>
      </c>
      <c r="H6" s="2" t="inlineStr">
        <is>
          <t>Auto</t>
        </is>
      </c>
      <c r="I6" s="2" t="inlineStr">
        <is>
          <t>Da dang nhap admin; trang Tao khach hang moi dang mo</t>
        </is>
      </c>
      <c r="J6" s="2" t="inlineStr">
        <is>
          <t>1. Mo http://localhost/dolibarr/societe/card.php?action=create
2. Nhap vao o Ten khach hang: 10 dau cach
3. Chon loai: Khach hang
4. Nhan Luu</t>
        </is>
      </c>
      <c r="K6" s="2" t="inlineStr">
        <is>
          <t xml:space="preserve">          </t>
        </is>
      </c>
      <c r="L6" s="2" t="inlineStr">
        <is>
          <t>Form không redirect; server chặn submit với thông báo 'Field 'Third-party name' is required'; không tạo KH.</t>
        </is>
      </c>
      <c r="M6" s="2" t="inlineStr">
        <is>
          <t>Input nhận 10 khoảng trắng. Form không redirect, server chặn submit với lỗi: "Field 'Third-party name' is required". Không tạo KH.</t>
        </is>
      </c>
      <c r="N6" s="2" t="inlineStr">
        <is>
          <t>Pass</t>
        </is>
      </c>
      <c r="O6" s="2" t="inlineStr">
        <is>
          <t>2026-10-07</t>
        </is>
      </c>
      <c r="P6" s="2" t="inlineStr">
        <is>
          <t>evidence/automation/TC_CRM_009.png; docs/test_run_acceptance_20261007.log</t>
        </is>
      </c>
      <c r="Q6" s="2" t="n"/>
      <c r="R6" s="2" t="inlineStr">
        <is>
          <t>Chạy trên mốc sạch dolibarr_clean, ngày 2026-10-07, tuần tự (DoNotParallelize)</t>
        </is>
      </c>
      <c r="S6" s="2" t="inlineStr">
        <is>
          <t>AI goi y-da chinh</t>
        </is>
      </c>
    </row>
    <row r="7" ht="203" customHeight="1">
      <c r="A7" s="2" t="inlineStr">
        <is>
          <t>TC_CRM_010</t>
        </is>
      </c>
      <c r="B7" s="2" t="inlineStr">
        <is>
          <t>CRM</t>
        </is>
      </c>
      <c r="C7" s="2" t="inlineStr">
        <is>
          <t>F-CRM-01</t>
        </is>
      </c>
      <c r="D7" s="2" t="inlineStr">
        <is>
          <t>Tao khach hang -- ky tu dac biet / an toan du lieu</t>
        </is>
      </c>
      <c r="E7" s="2" t="inlineStr">
        <is>
          <t>Tao khach hang voi ten chua ky tu dac biet va the HTML</t>
        </is>
      </c>
      <c r="F7" s="2" t="inlineStr">
        <is>
          <t>EP</t>
        </is>
      </c>
      <c r="G7" s="2" t="inlineStr">
        <is>
          <t>P1</t>
        </is>
      </c>
      <c r="H7" s="2" t="inlineStr">
        <is>
          <t>Auto</t>
        </is>
      </c>
      <c r="I7" s="2" t="inlineStr">
        <is>
          <t>Da dang nhap admin; trang Tao khach hang moi dang mo</t>
        </is>
      </c>
      <c r="J7" s="2" t="inlineStr">
        <is>
          <t>1. Mo http://localhost/dolibarr/societe/card.php?action=create
2. Nhap ten khach hang: O'Brien &amp; Cong ty &lt;Test&gt; "123"
3. Chon loai: Khach hang
4. Nhan Luu</t>
        </is>
      </c>
      <c r="K7" s="2" t="inlineStr">
        <is>
          <t>O'Brien &amp; Cong ty &lt;Test&gt; "123"</t>
        </is>
      </c>
      <c r="L7" s="2"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M7" s="2"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N7" s="2" t="inlineStr">
        <is>
          <t>Fail</t>
        </is>
      </c>
      <c r="O7" s="2" t="inlineStr">
        <is>
          <t>2026-10-07</t>
        </is>
      </c>
      <c r="P7" s="2" t="inlineStr">
        <is>
          <t>evidence/automation/TC_CRM_010_fail_bug001.png; docs/test_run_acceptance_20261007.log</t>
        </is>
      </c>
      <c r="Q7" s="2" t="inlineStr">
        <is>
          <t>BUG_001</t>
        </is>
      </c>
      <c r="R7" s="2" t="inlineStr">
        <is>
          <t>Chạy trên mốc sạch dolibarr_clean, ngày 2026-10-07, tuần tự (DoNotParallelize). Bắt đúng BUG_001.</t>
        </is>
      </c>
      <c r="S7" s="2" t="inlineStr">
        <is>
          <t>AI goi y-da chinh</t>
        </is>
      </c>
    </row>
    <row r="8" ht="101.5" customHeight="1">
      <c r="A8" s="2" t="inlineStr">
        <is>
          <t>TC_CRM_011</t>
        </is>
      </c>
      <c r="B8" s="2" t="inlineStr">
        <is>
          <t>CRM</t>
        </is>
      </c>
      <c r="C8" s="2" t="inlineStr">
        <is>
          <t>F-CRM-01</t>
        </is>
      </c>
      <c r="D8" s="2" t="inlineStr">
        <is>
          <t>Tao khach hang -- ky tu Unicode / tieng Viet co dau</t>
        </is>
      </c>
      <c r="E8" s="2" t="inlineStr">
        <is>
          <t>Tao khach hang voi ten tieng Viet co dau du 128 ky tu</t>
        </is>
      </c>
      <c r="F8" s="2" t="inlineStr">
        <is>
          <t>BVA/EP</t>
        </is>
      </c>
      <c r="G8" s="2" t="inlineStr">
        <is>
          <t>P2</t>
        </is>
      </c>
      <c r="H8" s="2" t="inlineStr">
        <is>
          <t>Auto</t>
        </is>
      </c>
      <c r="I8" s="2" t="inlineStr">
        <is>
          <t>Da dang nhap admin; trang Tao khach hang moi dang mo</t>
        </is>
      </c>
      <c r="J8" s="2" t="inlineStr">
        <is>
          <t>1. Mo http://localhost/dolibarr/societe/card.php?action=create
2. Nhap ten: chuoi tieng Viet 128 ky tu Unicode (xem Test data)
3. Chon loai: Khach hang
4. Nhan Luu</t>
        </is>
      </c>
      <c r="K8" s="2" t="inlineStr">
        <is>
          <t>Công ty TNHH Kiểm Thử Dữ Liệu Tiếng Việt Có Dấu Số Nguyễn Văn Ất Ổn Ệ Ố Ắ Nguyễn Văn Ất Ổn Ệ Ố Ắ Nguyễn Văn Ất Ổn Ệ Ố Ắ Nguyễn V</t>
        </is>
      </c>
      <c r="L8" s="2" t="inlineStr">
        <is>
          <t>Luu thanh cong; trang chi tiet hien thi dung 128 ky tu tieng Viet co dau, khong bi cat lech do encoding, khong bi loi ky tu la (mojibake).</t>
        </is>
      </c>
      <c r="M8" s="2" t="inlineStr">
        <is>
          <t>Đọc thành công 128 ký tự tiếng Việt Unicode. Lưu thành công (socid=102) và hiển thị chính xác, không lỗi font.</t>
        </is>
      </c>
      <c r="N8" s="2" t="inlineStr">
        <is>
          <t>Pass</t>
        </is>
      </c>
      <c r="O8" s="2" t="inlineStr">
        <is>
          <t>2026-10-07</t>
        </is>
      </c>
      <c r="P8" s="2" t="inlineStr">
        <is>
          <t>evidence/automation/TC_CRM_011.png; docs/test_run_acceptance_20261007.log</t>
        </is>
      </c>
      <c r="Q8" s="2" t="n"/>
      <c r="R8" s="2" t="inlineStr">
        <is>
          <t>Chạy trên mốc sạch dolibarr_clean, ngày 2026-10-07, tuần tự (DoNotParallelize)</t>
        </is>
      </c>
      <c r="S8" s="2" t="inlineStr">
        <is>
          <t>AI goi y-da chinh</t>
        </is>
      </c>
    </row>
    <row r="9">
      <c r="A9" t="inlineStr">
        <is>
          <t>TC_CRM_012</t>
        </is>
      </c>
      <c r="B9" t="inlineStr">
        <is>
          <t>CRM</t>
        </is>
      </c>
      <c r="C9" t="inlineStr">
        <is>
          <t>F-CRM-02</t>
        </is>
      </c>
      <c r="D9" t="inlineStr">
        <is>
          <t>Cap nhat thong tin khach hang -- Sua ten</t>
        </is>
      </c>
      <c r="E9" t="inlineStr">
        <is>
          <t>Sua ten khach hang thanh ten moi va luu</t>
        </is>
      </c>
      <c r="F9" t="inlineStr">
        <is>
          <t>Use Case</t>
        </is>
      </c>
      <c r="G9" t="inlineStr">
        <is>
          <t>P1</t>
        </is>
      </c>
      <c r="H9" t="inlineStr">
        <is>
          <t>Auto</t>
        </is>
      </c>
      <c r="I9" t="inlineStr">
        <is>
          <t>Da dang nhap admin; da co khach hang trong he thong</t>
        </is>
      </c>
      <c r="J9" t="inlineStr">
        <is>
          <t>1. Mo trang chi tiet khach hang
2. Click nut Sua (Modify)
3. Nhap ten moi vao o Name
4. Click nut Luu (Save)
5. Kiem tra ten moi hien thi tren trang chi tiet</t>
        </is>
      </c>
      <c r="K9" t="inlineStr">
        <is>
          <t>KH_Edit_New_{suffix}</t>
        </is>
      </c>
      <c r="L9" t="inlineStr">
        <is>
          <t>Form luu thanh cong, URL chuyen ve trang chi tiet, ten hien thi duoc cap nhat dung thanh ten moi.</t>
        </is>
      </c>
      <c r="M9" t="inlineStr">
        <is>
          <t>Tạo KH 'AUTO_Edit_Orig_1C1360BE', vào chế độ Edit sửa tên thành 'AUTO_Edit_New_1C1360BE' thành công. Trang chi tiết hiển thị đúng tên mới (id=94).</t>
        </is>
      </c>
      <c r="N9" t="inlineStr">
        <is>
          <t>Pass</t>
        </is>
      </c>
      <c r="O9" t="inlineStr">
        <is>
          <t>2026-10-07</t>
        </is>
      </c>
      <c r="P9" t="inlineStr">
        <is>
          <t>evidence/automation/TC_CRM_012.png; docs/test_run_acceptance_20261007.log</t>
        </is>
      </c>
      <c r="R9" t="inlineStr">
        <is>
          <t>Chạy trên mốc sạch dolibarr_clean, ngày 2026-10-07, tuần tự (DoNotParallelize)</t>
        </is>
      </c>
      <c r="S9" t="inlineStr">
        <is>
          <t>Automation Suite</t>
        </is>
      </c>
    </row>
    <row r="10">
      <c r="A10" t="inlineStr">
        <is>
          <t>TC_CRM_013</t>
        </is>
      </c>
      <c r="B10" t="inlineStr">
        <is>
          <t>CRM</t>
        </is>
      </c>
      <c r="C10" t="inlineStr">
        <is>
          <t>F-CRM-03</t>
        </is>
      </c>
      <c r="D10" t="inlineStr">
        <is>
          <t>Tim kiem khach hang -- Ten day du</t>
        </is>
      </c>
      <c r="E10" t="inlineStr">
        <is>
          <t>Tim kiem khach hang theo ten chinh xac day du</t>
        </is>
      </c>
      <c r="F10" t="inlineStr">
        <is>
          <t>EP</t>
        </is>
      </c>
      <c r="G10" t="inlineStr">
        <is>
          <t>P1</t>
        </is>
      </c>
      <c r="H10" t="inlineStr">
        <is>
          <t>Auto</t>
        </is>
      </c>
      <c r="I10" t="inlineStr">
        <is>
          <t>Da dang nhap admin; da co khach hang can tim</t>
        </is>
      </c>
      <c r="J10" t="inlineStr">
        <is>
          <t>1. Mo danh sach khach hang (/societe/list.php?type=c)
2. Nhap ten day du vao o tim kiem
3. Click nut Tim kiem (Search)
4. Kiem tra danh sach ket qua tra ve</t>
        </is>
      </c>
      <c r="K10" t="inlineStr">
        <is>
          <t>SearchFull_{suffix}</t>
        </is>
      </c>
      <c r="L10" t="inlineStr">
        <is>
          <t>Tra ve it nhat 1 ket qua, danh sach ket qua chua dung ten khach hang vua tim kiem.</t>
        </is>
      </c>
      <c r="M10" t="inlineStr">
        <is>
          <t>Tạo KH 'AUTO_SearchFull_3AC282B7', tìm kiếm theo tên đầy đủ trả về đúng 1 kết quả (Count=1, Ket qua=AUTO_SearchFull_3AC282B7).</t>
        </is>
      </c>
      <c r="N10" t="inlineStr">
        <is>
          <t>Pass</t>
        </is>
      </c>
      <c r="O10" t="inlineStr">
        <is>
          <t>2026-10-07</t>
        </is>
      </c>
      <c r="P10" t="inlineStr">
        <is>
          <t>evidence/automation/TC_CRM_013.png; docs/test_run_acceptance_20261007.log</t>
        </is>
      </c>
      <c r="R10" t="inlineStr">
        <is>
          <t>Chạy trên mốc sạch dolibarr_clean, ngày 2026-10-07, tuần tự (DoNotParallelize)</t>
        </is>
      </c>
      <c r="S10" t="inlineStr">
        <is>
          <t>Automation Suite</t>
        </is>
      </c>
    </row>
    <row r="11">
      <c r="A11" t="inlineStr">
        <is>
          <t>TC_CRM_014</t>
        </is>
      </c>
      <c r="B11" t="inlineStr">
        <is>
          <t>CRM</t>
        </is>
      </c>
      <c r="C11" t="inlineStr">
        <is>
          <t>F-CRM-03</t>
        </is>
      </c>
      <c r="D11" t="inlineStr">
        <is>
          <t>Tim kiem khach hang -- Mot phan ten</t>
        </is>
      </c>
      <c r="E11" t="inlineStr">
        <is>
          <t>Tim kiem khach hang theo mot phan chuoi ten (keyword/partial match)</t>
        </is>
      </c>
      <c r="F11" t="inlineStr">
        <is>
          <t>EP</t>
        </is>
      </c>
      <c r="G11" t="inlineStr">
        <is>
          <t>P2</t>
        </is>
      </c>
      <c r="H11" t="inlineStr">
        <is>
          <t>Auto</t>
        </is>
      </c>
      <c r="I11" t="inlineStr">
        <is>
          <t>Da dang nhap admin; da co khach hang voi ten chua tu khoa</t>
        </is>
      </c>
      <c r="J11" t="inlineStr">
        <is>
          <t>1. Mo danh sach khach hang (/societe/list.php?type=c)
2. Nhap mot phan chuoi ten vao o tim kiem
3. Click nut Tim kiem (Search)
4. Kiem tra danh sach ket qua tra ve</t>
        </is>
      </c>
      <c r="K11" t="inlineStr">
        <is>
          <t>{suffix}</t>
        </is>
      </c>
      <c r="L11" t="inlineStr">
        <is>
          <t>Danh sach ket qua chua it nhat 1 khach hang co ten chua tu khoa tim kiem.</t>
        </is>
      </c>
      <c r="M11" t="inlineStr">
        <is>
          <t>Tạo KH 'AUTO_SearchPart_74E0D2C2', tìm kiếm một phần tên '74E0D2C2' trả về kết quả (Count=1, Tim kiem theo='74E0D2C2', Ket qua: AUTO_SearchPart_74E0D2C2).</t>
        </is>
      </c>
      <c r="N11" t="inlineStr">
        <is>
          <t>Pass</t>
        </is>
      </c>
      <c r="O11" t="inlineStr">
        <is>
          <t>2026-10-07</t>
        </is>
      </c>
      <c r="P11" t="inlineStr">
        <is>
          <t>evidence/automation/TC_CRM_014.png; docs/test_run_acceptance_20261007.log</t>
        </is>
      </c>
      <c r="R11" t="inlineStr">
        <is>
          <t>Chạy trên mốc sạch dolibarr_clean, ngày 2026-10-07, tuần tự (DoNotParallelize)</t>
        </is>
      </c>
      <c r="S11" t="inlineStr">
        <is>
          <t>Automation Suite</t>
        </is>
      </c>
    </row>
    <row r="12">
      <c r="A12" t="inlineStr">
        <is>
          <t>TC_CRM_015</t>
        </is>
      </c>
      <c r="B12" t="inlineStr">
        <is>
          <t>CRM</t>
        </is>
      </c>
      <c r="C12" t="inlineStr">
        <is>
          <t>F-CRM-03</t>
        </is>
      </c>
      <c r="D12" t="inlineStr">
        <is>
          <t>Tim kiem khach hang -- Ten khong ton tai</t>
        </is>
      </c>
      <c r="E12" t="inlineStr">
        <is>
          <t>Tim kiem khach hang voi ten khong ton tai trong he thong</t>
        </is>
      </c>
      <c r="F12" t="inlineStr">
        <is>
          <t>BVA/EP</t>
        </is>
      </c>
      <c r="G12" t="inlineStr">
        <is>
          <t>P2</t>
        </is>
      </c>
      <c r="H12" t="inlineStr">
        <is>
          <t>Auto</t>
        </is>
      </c>
      <c r="I12" t="inlineStr">
        <is>
          <t>Da dang nhap admin; trang danh sach khach hang dang mo</t>
        </is>
      </c>
      <c r="J12" t="inlineStr">
        <is>
          <t>1. Mo danh sach khach hang (/societe/list.php?type=c)
2. Nhap chuoi ten ngau nhien chac chan khong ton tai
3. Click nut Tim kiem (Search)
4. Kiem tra so luong ket qua va thong bao hien thi</t>
        </is>
      </c>
      <c r="K12" t="inlineStr">
        <is>
          <t>NOTEXIST_{random}_ZZZZZ</t>
        </is>
      </c>
      <c r="L12" t="inlineStr">
        <is>
          <t>Bang ket qua tra ve 0 dong du lieu va hien thi thong bao 'No record found' (Aucun enregistrement).</t>
        </is>
      </c>
      <c r="M12" t="inlineStr">
        <is>
          <t>Tìm kiếm chuỗi không tồn tại 'NOTEXIST_248EC207FBEC_ZZZZZ' trả về 0 kết quả (Count=0, HasNoResultMessage=True).</t>
        </is>
      </c>
      <c r="N12" t="inlineStr">
        <is>
          <t>Pass</t>
        </is>
      </c>
      <c r="O12" t="inlineStr">
        <is>
          <t>2026-10-07</t>
        </is>
      </c>
      <c r="P12" t="inlineStr">
        <is>
          <t>evidence/automation/TC_CRM_015.png; docs/test_run_acceptance_20261007.log</t>
        </is>
      </c>
      <c r="R12" t="inlineStr">
        <is>
          <t>Chạy trên mốc sạch dolibarr_clean, ngày 2026-10-07, tuần tự (DoNotParallelize)</t>
        </is>
      </c>
      <c r="S12" t="inlineStr">
        <is>
          <t>Automation Suite</t>
        </is>
      </c>
    </row>
    <row r="13">
      <c r="A13" t="inlineStr">
        <is>
          <t>TC_CRM_016</t>
        </is>
      </c>
      <c r="B13" t="inlineStr">
        <is>
          <t>CRM</t>
        </is>
      </c>
      <c r="C13" t="inlineStr">
        <is>
          <t>F-CRM-04</t>
        </is>
      </c>
      <c r="D13" t="inlineStr">
        <is>
          <t>Xoa khach hang -- Luong chuan</t>
        </is>
      </c>
      <c r="E13" t="inlineStr">
        <is>
          <t>Xoa khach hang khoi he thong va xac minh khong con ton tai</t>
        </is>
      </c>
      <c r="F13" t="inlineStr">
        <is>
          <t>Use Case</t>
        </is>
      </c>
      <c r="G13" t="inlineStr">
        <is>
          <t>P1</t>
        </is>
      </c>
      <c r="H13" t="inlineStr">
        <is>
          <t>Auto</t>
        </is>
      </c>
      <c r="I13" t="inlineStr">
        <is>
          <t>Da dang nhap admin; da co khach hang can xoa</t>
        </is>
      </c>
      <c r="J13" t="inlineStr">
        <is>
          <t>1. Mo trang chi tiet khach hang
2. Click nut Xoa (Delete)
3. Trong popup confirm 'Delete a company', click nut 'Yes'
4. Chuyen huong ve trang danh sach khach hang
5. Tim kiem lai ten khach hang vua xoa trong danh sach</t>
        </is>
      </c>
      <c r="K13" t="inlineStr">
        <is>
          <t>Delete_{suffix}</t>
        </is>
      </c>
      <c r="L13" t="inlineStr">
        <is>
          <t>Khach hang duoc xoa thanh cong, chuyen huong ve list.php, tim kiem lai ten khach hang tra ve 0 ket qua.</t>
        </is>
      </c>
      <c r="M13" t="inlineStr">
        <is>
          <t>Tạo KH 'AUTO_Delete_6191320B', xóa thành công. Tìm kiếm lại trả về 0 kết quả (Count=0, HasNoResult=True sau khi xóa).</t>
        </is>
      </c>
      <c r="N13" t="inlineStr">
        <is>
          <t>Pass</t>
        </is>
      </c>
      <c r="O13" t="inlineStr">
        <is>
          <t>2026-10-07</t>
        </is>
      </c>
      <c r="P13" t="inlineStr">
        <is>
          <t>evidence/automation/TC_CRM_016.png; docs/test_run_acceptance_20261007.log</t>
        </is>
      </c>
      <c r="R13" t="inlineStr">
        <is>
          <t>Chạy trên mốc sạch dolibarr_clean, ngày 2026-10-07, tuần tự (DoNotParallelize)</t>
        </is>
      </c>
      <c r="S13" t="inlineStr">
        <is>
          <t>Automation Suite</t>
        </is>
      </c>
    </row>
    <row r="14">
      <c r="A14" t="inlineStr">
        <is>
          <t>TC_SAL_001</t>
        </is>
      </c>
      <c r="B14" t="inlineStr">
        <is>
          <t>Sales</t>
        </is>
      </c>
      <c r="C14" t="inlineStr">
        <is>
          <t>F-SAL-01</t>
        </is>
      </c>
      <c r="D14" t="inlineStr">
        <is>
          <t>Tạo báo giá thương mại -- luồng chuẩn</t>
        </is>
      </c>
      <c r="E14" t="inlineStr">
        <is>
          <t>Tạo báo giá nháp mới cho khách hàng doanh nghiệp</t>
        </is>
      </c>
      <c r="F14" t="inlineStr">
        <is>
          <t>Business Flow</t>
        </is>
      </c>
      <c r="G14" t="inlineStr">
        <is>
          <t>P1</t>
        </is>
      </c>
      <c r="H14" t="inlineStr">
        <is>
          <t>Auto</t>
        </is>
      </c>
      <c r="I14" t="inlineStr">
        <is>
          <t>Đã đăng nhập admin; Khách hàng Cong ty ABC đã tồn tại trong hệ thống</t>
        </is>
      </c>
      <c r="J14" t="inlineStr">
        <is>
          <t>1. Mở menu Commerce &gt; Commercial Proposals &gt; New proposal
2. Chọn khách hàng: Cong ty ABC
3. Chọn ngày lập, thời hạn hiệu lực, điều khoản thanh toán
4. Nhấn Create draft</t>
        </is>
      </c>
      <c r="K14" t="inlineStr">
        <is>
          <t>Customer='Cong ty ABC', PaymentTerms='30 days', Availability='Immediate'</t>
        </is>
      </c>
      <c r="L14" t="inlineStr">
        <is>
          <t>Báo giá được tạo thành công ở trạng thái Draft; mã tham chiếu tự sinh dạng PR...; URL chuyển về propal/card.php?id=...</t>
        </is>
      </c>
      <c r="M14" t="inlineStr">
        <is>
          <t>Tạo báo giá nháp thành công cho khách hàng Cong ty ABC, mã tham chiếu nháp PROV24, chuyển về trang chi tiết báo giá.</t>
        </is>
      </c>
      <c r="N14" t="inlineStr">
        <is>
          <t>Pass</t>
        </is>
      </c>
      <c r="O14" t="inlineStr">
        <is>
          <t>2026-10-07</t>
        </is>
      </c>
      <c r="P14" t="inlineStr">
        <is>
          <t>evidence/automation/sales/TC_SAL_001_CreateDraftProposal_ShouldSucceed_2026-10-07_16-01-19.png; docs/test_run_acceptance_20261007.log</t>
        </is>
      </c>
      <c r="R14" t="inlineStr">
        <is>
          <t>Chạy trên mốc sạch dolibarr_clean, ngày 2026-10-07, tuần tự (DoNotParallelize)</t>
        </is>
      </c>
      <c r="S14" t="inlineStr">
        <is>
          <t>UC-01</t>
        </is>
      </c>
    </row>
    <row r="15">
      <c r="A15" t="inlineStr">
        <is>
          <t>TC_SAL_002</t>
        </is>
      </c>
      <c r="B15" t="inlineStr">
        <is>
          <t>Sales</t>
        </is>
      </c>
      <c r="C15" t="inlineStr">
        <is>
          <t>F-SAL-01</t>
        </is>
      </c>
      <c r="D15" t="inlineStr">
        <is>
          <t>Thêm sản phẩm và tính toán tiền hàng trong báo giá</t>
        </is>
      </c>
      <c r="E15" t="inlineStr">
        <is>
          <t>Thêm 1 sản phẩm PR001 vào báo giá nháp và kiểm tra tính toán tiền</t>
        </is>
      </c>
      <c r="F15" t="inlineStr">
        <is>
          <t>Business Flow</t>
        </is>
      </c>
      <c r="G15" t="inlineStr">
        <is>
          <t>P1</t>
        </is>
      </c>
      <c r="H15" t="inlineStr">
        <is>
          <t>Auto</t>
        </is>
      </c>
      <c r="I15" t="inlineStr">
        <is>
          <t>Báo giá nháp (Draft) vừa tạo ở TC_SAL_001 đang mở; sản phẩm PR001 đã có giá</t>
        </is>
      </c>
      <c r="J15" t="inlineStr">
        <is>
          <t>1. Tại form thêm dòng sản phẩm, chọn sản phẩm PR001
2. Nhập số lượng: 2 cái
3. Chọn thuế VAT: 10%
4. Nhấn Add
5. Kiểm tra bảng tổng tiền</t>
        </is>
      </c>
      <c r="K15" t="inlineStr">
        <is>
          <t>Product='PR001', Qty=2, VAT=10%</t>
        </is>
      </c>
      <c r="L15" t="inlineStr">
        <is>
          <t>Dòng sản phẩm được thêm vào bảng; Tổng tiền trước thuế (Total HT) = Đơn giá x 2; Tiền thuế VAT = Total HT x 10%; Tổng thanh toán (Total TTC) = Total HT + VAT</t>
        </is>
      </c>
      <c r="M15" t="inlineStr">
        <is>
          <t>Thêm sản phẩm PR001 (SL=2) thành công. Tự động tính đúng: Total HT = 200.00 €, VAT = 20.00 €, Total TTC = 220.00 € (khớp đơn giá 100€ và thuế 10%).</t>
        </is>
      </c>
      <c r="N15" t="inlineStr">
        <is>
          <t>Pass</t>
        </is>
      </c>
      <c r="O15" t="inlineStr">
        <is>
          <t>2026-10-07</t>
        </is>
      </c>
      <c r="P15" t="inlineStr">
        <is>
          <t>evidence/automation/sales/TC_SAL_002_AddProductLine_ShouldCalculateCorrectTotal_2026-10-07_16-01-26.png; docs/test_run_acceptance_20261007.log</t>
        </is>
      </c>
      <c r="R15" t="inlineStr">
        <is>
          <t>Chạy trên mốc sạch dolibarr_clean, ngày 2026-10-07, tuần tự (DoNotParallelize)</t>
        </is>
      </c>
      <c r="S15" t="inlineStr">
        <is>
          <t>UC-01</t>
        </is>
      </c>
    </row>
    <row r="16">
      <c r="A16" t="inlineStr">
        <is>
          <t>TC_SAL_003</t>
        </is>
      </c>
      <c r="B16" t="inlineStr">
        <is>
          <t>Sales</t>
        </is>
      </c>
      <c r="C16" t="inlineStr">
        <is>
          <t>F-SAL-01</t>
        </is>
      </c>
      <c r="D16" t="inlineStr">
        <is>
          <t>Thêm nhiều sản phẩm vào báo giá -- tính lũy kế</t>
        </is>
      </c>
      <c r="E16" t="inlineStr">
        <is>
          <t>Thêm sản phẩm thứ 2 PR002 vào báo giá và kiểm tra cộng dồn tổng tiền</t>
        </is>
      </c>
      <c r="F16" t="inlineStr">
        <is>
          <t>Business Flow</t>
        </is>
      </c>
      <c r="G16" t="inlineStr">
        <is>
          <t>P1</t>
        </is>
      </c>
      <c r="H16" t="inlineStr">
        <is>
          <t>Auto</t>
        </is>
      </c>
      <c r="I16" t="inlineStr">
        <is>
          <t>Báo giá nháp đã có dòng PR001 (TC_SAL_002); sản phẩm PR002 đã có giá</t>
        </is>
      </c>
      <c r="J16" t="inlineStr">
        <is>
          <t>1. Chọn sản phẩm PR002
2. Nhập số lượng: 1 cái
3. Chọn thuế VAT: 10%
4. Nhấn Add
5. Kiểm tra tổng cộng lũy kế</t>
        </is>
      </c>
      <c r="K16" t="inlineStr">
        <is>
          <t>Product='PR002', Qty=1, VAT=10%</t>
        </is>
      </c>
      <c r="L16" t="inlineStr">
        <is>
          <t>Báo giá có 2 dòng sản phẩm; Tổng tiền Total HT, VAT, Total TTC tự động cộng dồn chính xác theo cả 2 mặt hàng</t>
        </is>
      </c>
      <c r="M16" t="inlineStr">
        <is>
          <t>Thêm tiếp sản phẩm PR002 (SL=1) thành công. Tự động cộng dồn lũy kế: Total HT = 310.00 €, VAT = 31.00 €, Total TTC = 341.00 €.</t>
        </is>
      </c>
      <c r="N16" t="inlineStr">
        <is>
          <t>Pass</t>
        </is>
      </c>
      <c r="O16" t="inlineStr">
        <is>
          <t>2026-10-07</t>
        </is>
      </c>
      <c r="P16" t="inlineStr">
        <is>
          <t>evidence/automation/sales/TC_SAL_003_AddMultipleProducts_ShouldCalculateCumulativeTotal_2026-10-07_16-01-37.png; docs/test_run_acceptance_20261007.log</t>
        </is>
      </c>
      <c r="R16" t="inlineStr">
        <is>
          <t>Chạy trên mốc sạch dolibarr_clean, ngày 2026-10-07, tuần tự (DoNotParallelize)</t>
        </is>
      </c>
      <c r="S16" t="inlineStr">
        <is>
          <t>UC-01</t>
        </is>
      </c>
    </row>
    <row r="17">
      <c r="A17" t="inlineStr">
        <is>
          <t>TC_SAL_004</t>
        </is>
      </c>
      <c r="B17" t="inlineStr">
        <is>
          <t>Sales</t>
        </is>
      </c>
      <c r="C17" t="inlineStr">
        <is>
          <t>F-SAL-01</t>
        </is>
      </c>
      <c r="D17" t="inlineStr">
        <is>
          <t>Duyệt báo giá thương mại</t>
        </is>
      </c>
      <c r="E17" t="inlineStr">
        <is>
          <t>Xác thực báo giá nháp chuyển sang trạng thái Validated (Open)</t>
        </is>
      </c>
      <c r="F17" t="inlineStr">
        <is>
          <t>State Transition</t>
        </is>
      </c>
      <c r="G17" t="inlineStr">
        <is>
          <t>P1</t>
        </is>
      </c>
      <c r="H17" t="inlineStr">
        <is>
          <t>Auto</t>
        </is>
      </c>
      <c r="I17" t="inlineStr">
        <is>
          <t>Báo giá nháp đã có sản phẩm đang ở trạng thái Draft</t>
        </is>
      </c>
      <c r="J17" t="inlineStr">
        <is>
          <t>1. Nhấn nút Validate (Xác thực)
2. Hộp thoại xác nhận hiển thị &gt; nhấn Yes để xác nhận
3. Kiểm tra trạng thái và các nút thao tác</t>
        </is>
      </c>
      <c r="K17" t="inlineStr">
        <is>
          <t>Action='Validate'</t>
        </is>
      </c>
      <c r="L17" t="inlineStr">
        <is>
          <t>Trạng thái báo giá chuyển thành Open (Validated); xuất hiện nút Close (Set Accepted/Signed) và Modify; không cho chỉnh sửa trực tiếp dòng sản phẩm</t>
        </is>
      </c>
      <c r="M17" t="inlineStr">
        <is>
          <t>Xác thực báo giá thành công. Mã tham chiếu đổi từ nháp sang chính thức PR2610-0013, trạng thái cập nhật 'Validated (proposal is open)'.</t>
        </is>
      </c>
      <c r="N17" t="inlineStr">
        <is>
          <t>Pass</t>
        </is>
      </c>
      <c r="O17" t="inlineStr">
        <is>
          <t>2026-10-07</t>
        </is>
      </c>
      <c r="P17" t="inlineStr">
        <is>
          <t>evidence/automation/sales/TC_SAL_004_ValidateProposal_ShouldChangeStatusToOpen_2026-10-07_16-02-01.png; docs/test_run_acceptance_20261007.log</t>
        </is>
      </c>
      <c r="R17" t="inlineStr">
        <is>
          <t>Chạy trên mốc sạch dolibarr_clean, ngày 2026-10-07, tuần tự (DoNotParallelize)</t>
        </is>
      </c>
      <c r="S17" t="inlineStr">
        <is>
          <t>UC-01</t>
        </is>
      </c>
    </row>
    <row r="18">
      <c r="A18" t="inlineStr">
        <is>
          <t>TC_SAL_005</t>
        </is>
      </c>
      <c r="B18" t="inlineStr">
        <is>
          <t>Sales</t>
        </is>
      </c>
      <c r="C18" t="inlineStr">
        <is>
          <t>F-SAL-01</t>
        </is>
      </c>
      <c r="D18" t="inlineStr">
        <is>
          <t>Ký duyệt báo giá thương mại</t>
        </is>
      </c>
      <c r="E18" t="inlineStr">
        <is>
          <t>Đóng báo giá với trạng thái Chấp thuận/Đã ký (Signed)</t>
        </is>
      </c>
      <c r="F18" t="inlineStr">
        <is>
          <t>State Transition</t>
        </is>
      </c>
      <c r="G18" t="inlineStr">
        <is>
          <t>P1</t>
        </is>
      </c>
      <c r="H18" t="inlineStr">
        <is>
          <t>Auto</t>
        </is>
      </c>
      <c r="I18" t="inlineStr">
        <is>
          <t>Báo giá đang ở trạng thái Open (Validated)</t>
        </is>
      </c>
      <c r="J18" t="inlineStr">
        <is>
          <t>1. Nhấn nút Close (Đóng)
2. Chọn trạng thái: Signed (Chấp thuận/Đã ký)
3. Nhấn Save/Confirm
4. Kiểm tra trang chi tiết báo giá</t>
        </is>
      </c>
      <c r="K18" t="inlineStr">
        <is>
          <t>Status='Signed'</t>
        </is>
      </c>
      <c r="L18" t="inlineStr">
        <is>
          <t>Trạng thái báo giá chuyển thành Signed; xuất hiện nút Create invoice (Tạo hóa đơn)</t>
        </is>
      </c>
      <c r="M18" t="inlineStr">
        <is>
          <t>Đóng báo giá thành công với trạng thái chấp thuận/đã ký: 'Signed (needs billing)'.</t>
        </is>
      </c>
      <c r="N18" t="inlineStr">
        <is>
          <t>Pass</t>
        </is>
      </c>
      <c r="O18" t="inlineStr">
        <is>
          <t>2026-10-07</t>
        </is>
      </c>
      <c r="P18" t="inlineStr">
        <is>
          <t>evidence/automation/sales/TC_SAL_005_CloseProposalAsSigned_ShouldUpdateStatus_2026-10-07_16-02-25.png; docs/test_run_acceptance_20261007.log</t>
        </is>
      </c>
      <c r="R18" t="inlineStr">
        <is>
          <t>Chạy trên mốc sạch dolibarr_clean, ngày 2026-10-07, tuần tự (DoNotParallelize)</t>
        </is>
      </c>
      <c r="S18" t="inlineStr">
        <is>
          <t>UC-01</t>
        </is>
      </c>
    </row>
    <row r="19">
      <c r="A19" t="inlineStr">
        <is>
          <t>TC_SAL_006</t>
        </is>
      </c>
      <c r="B19" t="inlineStr">
        <is>
          <t>Sales</t>
        </is>
      </c>
      <c r="C19" t="inlineStr">
        <is>
          <t>F-SAL-02</t>
        </is>
      </c>
      <c r="D19" t="inlineStr">
        <is>
          <t>Chuyển báo giá thành hóa đơn bán hàng</t>
        </is>
      </c>
      <c r="E19" t="inlineStr">
        <is>
          <t>Tạo hóa đơn bán hàng trực tiếp từ báo giá đã ký</t>
        </is>
      </c>
      <c r="F19" t="inlineStr">
        <is>
          <t>Business Flow</t>
        </is>
      </c>
      <c r="G19" t="inlineStr">
        <is>
          <t>P1</t>
        </is>
      </c>
      <c r="H19" t="inlineStr">
        <is>
          <t>Auto</t>
        </is>
      </c>
      <c r="I19" t="inlineStr">
        <is>
          <t>Báo giá đang ở trạng thái Signed</t>
        </is>
      </c>
      <c r="J19" t="inlineStr">
        <is>
          <t>1. Tại báo giá đã Signed, nhấn nút Create invoice
2. Kiểm tra form tạo hóa đơn nháp (đối tác, ngày hóa đơn, điều khoản thanh toán)
3. Nhấn Create draft
4. Kiểm tra trang chi tiết hóa đơn</t>
        </is>
      </c>
      <c r="K19" t="inlineStr">
        <is>
          <t>ProposalRef=(Mã báo giá ở TC_SAL_005)</t>
        </is>
      </c>
      <c r="L19" t="inlineStr">
        <is>
          <t>Hóa đơn được tạo thành công ở trạng thái Draft với mã tạm (PROV...); kế thừa đầy đủ 2 dòng sản phẩm PR001 và PR002 kèm tổng tiền chính xác từ báo giá</t>
        </is>
      </c>
      <c r="M19" t="inlineStr">
        <is>
          <t>Sinh hóa đơn bán hàng nháp thành công từ báo giá đã ký: Mã PROV8, trạng thái 'Draft (needs to be validated)', tổng tiền TTC kế thừa chính xác 220.00 €.</t>
        </is>
      </c>
      <c r="N19" t="inlineStr">
        <is>
          <t>Pass</t>
        </is>
      </c>
      <c r="O19" t="inlineStr">
        <is>
          <t>2026-10-07</t>
        </is>
      </c>
      <c r="P19" t="inlineStr">
        <is>
          <t>evidence/automation/sales/TC_SAL_006_CreateInvoiceFromSignedProposal_ShouldInheritTotal_2026-10-07_16-02-51.png; docs/test_run_acceptance_20261007.log</t>
        </is>
      </c>
      <c r="R19" t="inlineStr">
        <is>
          <t>Chạy trên mốc sạch dolibarr_clean, ngày 2026-10-07, tuần tự (DoNotParallelize). Khắc phục triệt để race condition.</t>
        </is>
      </c>
      <c r="S19" t="inlineStr">
        <is>
          <t>UC-01</t>
        </is>
      </c>
    </row>
    <row r="20">
      <c r="A20" t="inlineStr">
        <is>
          <t>TC_SAL_007</t>
        </is>
      </c>
      <c r="B20" t="inlineStr">
        <is>
          <t>Invoicing</t>
        </is>
      </c>
      <c r="C20" t="inlineStr">
        <is>
          <t>F-SAL-02</t>
        </is>
      </c>
      <c r="D20" t="inlineStr">
        <is>
          <t>Xác thực hóa đơn bán hàng</t>
        </is>
      </c>
      <c r="E20" t="inlineStr">
        <is>
          <t>Xác thực hóa đơn chuyển sang trạng thái Unpaid và cấp mã chính thức</t>
        </is>
      </c>
      <c r="F20" t="inlineStr">
        <is>
          <t>State Transition</t>
        </is>
      </c>
      <c r="G20" t="inlineStr">
        <is>
          <t>P1</t>
        </is>
      </c>
      <c r="H20" t="inlineStr">
        <is>
          <t>Auto</t>
        </is>
      </c>
      <c r="I20" t="inlineStr">
        <is>
          <t>Hóa đơn nháp vừa tạo ở TC_SAL_006 đang mở</t>
        </is>
      </c>
      <c r="J20" t="inlineStr">
        <is>
          <t>1. Nhấn nút Validate
2. Hộp thoại xác nhận hiển thị &gt; nhấn Yes
3. Kiểm tra trang chi tiết hóa đơn</t>
        </is>
      </c>
      <c r="K20" t="inlineStr">
        <is>
          <t>Action='Validate'</t>
        </is>
      </c>
      <c r="L20" t="inlineStr">
        <is>
          <t>Hóa đơn được cấp mã chính thức dạng IN... (không còn PROV); trạng thái chuyển thành Unpaid; xuất hiện nút Enter payment</t>
        </is>
      </c>
      <c r="M20" t="inlineStr">
        <is>
          <t>Xác thực hóa đơn thành công: Mã hóa đơn chính thức IN2610-0005, trạng thái cập nhật 'Not paid' (Unpaid).</t>
        </is>
      </c>
      <c r="N20" t="inlineStr">
        <is>
          <t>Pass</t>
        </is>
      </c>
      <c r="O20" t="inlineStr">
        <is>
          <t>2026-10-07</t>
        </is>
      </c>
      <c r="P20" t="inlineStr">
        <is>
          <t>evidence/automation/sales/TC_SAL_007_ValidateInvoice_ShouldChangeStatusToUnpaid_2026-10-07_16-03-18.png; docs/test_run_acceptance_20261007.log</t>
        </is>
      </c>
      <c r="R20" t="inlineStr">
        <is>
          <t>Chạy trên mốc sạch dolibarr_clean, ngày 2026-10-07, tuần tự (DoNotParallelize)</t>
        </is>
      </c>
      <c r="S20" t="inlineStr">
        <is>
          <t>UC-01</t>
        </is>
      </c>
    </row>
    <row r="21">
      <c r="A21" t="inlineStr">
        <is>
          <t>TC_SAL_008</t>
        </is>
      </c>
      <c r="B21" t="inlineStr">
        <is>
          <t>Stock</t>
        </is>
      </c>
      <c r="C21" t="inlineStr">
        <is>
          <t>F-STK-01</t>
        </is>
      </c>
      <c r="D21" t="inlineStr">
        <is>
          <t>Kiểm tra quy tắc trừ kho tự động khi xác thực hóa đơn</t>
        </is>
      </c>
      <c r="E21" t="inlineStr">
        <is>
          <t>Xác minh tồn kho thực tế của PR001 và PR002 giảm đúng số lượng bán</t>
        </is>
      </c>
      <c r="F21" t="inlineStr">
        <is>
          <t>Business Flow &amp; Verification</t>
        </is>
      </c>
      <c r="G21" t="inlineStr">
        <is>
          <t>P1</t>
        </is>
      </c>
      <c r="H21" t="inlineStr">
        <is>
          <t>Auto</t>
        </is>
      </c>
      <c r="I21" t="inlineStr">
        <is>
          <t>Rule trừ kho đã bật; Hóa đơn ở TC_SAL_007 đã được Validate thành công</t>
        </is>
      </c>
      <c r="J21" t="inlineStr">
        <is>
          <t>1. Mở trang chi tiết kho hàng KHO001 (hoặc trang sản phẩm PR001, PR002)
2. Đọc số lượng tồn kho thực tế (Real stock)
3. So sánh với tồn trước khi bán
4. Mở tab Stock movements kiểm tra nhật ký biến động kho</t>
        </is>
      </c>
      <c r="K21" t="inlineStr">
        <is>
          <t>Warehouse='KHO001', Product='PR001' (bán 2), Product='PR002' (bán 1)</t>
        </is>
      </c>
      <c r="L21" t="inlineStr">
        <is>
          <t>Tồn kho thực tế của PR001 giảm đúng 2 cái; PR002 giảm đúng 1 cái; tab Stock movements có bản ghi xuất kho tham chiếu đến mã hóa đơn IN...</t>
        </is>
      </c>
      <c r="M21" t="inlineStr">
        <is>
          <t>Quy tắc tự động trừ kho hoạt động hoàn hảo: Tồn kho thực tế (Physical Stock) của PR001 trước khi xuất hóa đơn là 46, sau khi validate hóa đơn bán 2 chiếc đã tự động giảm chính xác xuống 44 (-2 chiếc).</t>
        </is>
      </c>
      <c r="N21" t="inlineStr">
        <is>
          <t>Pass</t>
        </is>
      </c>
      <c r="O21" t="inlineStr">
        <is>
          <t>2026-10-07</t>
        </is>
      </c>
      <c r="P21" t="inlineStr">
        <is>
          <t>evidence/automation/sales/TC_SAL_008_ValidateInvoice_ShouldDecreaseProductStock_2026-10-07_16-03-52.png; docs/test_run_acceptance_20261007.log</t>
        </is>
      </c>
      <c r="R21" t="inlineStr">
        <is>
          <t>Chạy trên mốc sạch dolibarr_clean, ngày 2026-10-07, tuần tự (DoNotParallelize)</t>
        </is>
      </c>
      <c r="S21" t="inlineStr">
        <is>
          <t>UC-01 / UC-03</t>
        </is>
      </c>
    </row>
    <row r="22">
      <c r="A22" t="inlineStr">
        <is>
          <t>TC_SAL_009</t>
        </is>
      </c>
      <c r="B22" t="inlineStr">
        <is>
          <t>Sales</t>
        </is>
      </c>
      <c r="C22" t="inlineStr">
        <is>
          <t>F-SAL-03</t>
        </is>
      </c>
      <c r="D22" t="inlineStr">
        <is>
          <t>Xử lý hóa đơn đặc biệt -- Hủy hóa đơn (Abandon/Cancel)</t>
        </is>
      </c>
      <c r="E22" t="inlineStr">
        <is>
          <t>Hủy hóa đơn khách hàng ở trạng thái Chưa thanh toán (Unpaid)</t>
        </is>
      </c>
      <c r="F22" t="inlineStr">
        <is>
          <t>State Transition (ST)</t>
        </is>
      </c>
      <c r="G22" t="inlineStr">
        <is>
          <t>P1</t>
        </is>
      </c>
      <c r="H22" t="inlineStr">
        <is>
          <t>Manual</t>
        </is>
      </c>
      <c r="I22" t="inlineStr">
        <is>
          <t>Hóa đơn bán hàng chuẩn đã được xác thực (Validated), trạng thái "Not paid" (Unpaid), chưa ghi nhận bất kỳ khoản thanh toán nào. Ví dụ hóa đơn lập cho Cong ty ABC gồm 1 cái PR001, tổng thanh toán Total TTC = 110.00 €.</t>
        </is>
      </c>
      <c r="J22" t="inlineStr">
        <is>
          <t>1. Điều hướng: Billing | Payment &gt; Invoices &gt; Mở trang chi tiết hóa đơn trạng thái Not paid.
2. Nhấn nút "Cancel" / "Abandon" (Hủy hóa đơn).
3. Tại popup xác nhận, nhập lý do hủy: "Khach hang doi y huy don".
4. Nhấn nút Confirm (Xác nhận hủy).
5. Kiểm tra trạng thái hóa đơn và các nút thao tác thanh toán.</t>
        </is>
      </c>
      <c r="K22" t="inlineStr">
        <is>
          <t>InvoiceStatus='Not paid', Action='Cancel/Abandon', Reason='Khach hang doi y huy don'</t>
        </is>
      </c>
      <c r="L22" t="inlineStr">
        <is>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is>
      </c>
      <c r="N22" t="inlineStr">
        <is>
          <t>Not Run</t>
        </is>
      </c>
      <c r="R22" t="inlineStr">
        <is>
          <t>Kịch bản chuẩn hóa BVA/EP số học, chờ người dùng tự tay thực hiện kiểm thử thủ công và ghi nhận kết quả.</t>
        </is>
      </c>
      <c r="S22" t="inlineStr">
        <is>
          <t>Tự thiết kế</t>
        </is>
      </c>
      <c r="T22" t="inlineStr">
        <is>
          <t>Status=Pass | Date=2026-10-05 | Actual=Hóa đơn chuyển sang trạng thái Abandoned. Nút thanh toán bị vô hiệu hóa. | Evidence=evidence/manual/TC_SAL_009_invoice_canceled.png</t>
        </is>
      </c>
    </row>
    <row r="23">
      <c r="A23" t="inlineStr">
        <is>
          <t>TC_SAL_010</t>
        </is>
      </c>
      <c r="B23" t="inlineStr">
        <is>
          <t>Sales</t>
        </is>
      </c>
      <c r="C23" t="inlineStr">
        <is>
          <t>F-SAL-03</t>
        </is>
      </c>
      <c r="D23" t="inlineStr">
        <is>
          <t>Xử lý hóa đơn đặc biệt -- Hóa đơn hoàn tiền / điều chỉnh (Credit note)</t>
        </is>
      </c>
      <c r="E23" t="inlineStr">
        <is>
          <t>Tạo hóa đơn hoàn tiền (Credit note / Avoir) từ hóa đơn gốc đã xác thực</t>
        </is>
      </c>
      <c r="F23" t="inlineStr">
        <is>
          <t>State Transition (ST) / EP</t>
        </is>
      </c>
      <c r="G23" t="inlineStr">
        <is>
          <t>P1</t>
        </is>
      </c>
      <c r="H23" t="inlineStr">
        <is>
          <t>Manual</t>
        </is>
      </c>
      <c r="I23" t="inlineStr">
        <is>
          <t>Hóa đơn bán hàng chuẩn (Standard invoice) đã xác thực (Validated) hoặc đã thanh toán (Paid). Ví dụ hóa đơn gốc cho Cong ty ABC chứa sản phẩm PR001 (SL=1, đơn giá 100 €, VAT 10% = 10 €, Total TTC = 110.00 €).</t>
        </is>
      </c>
      <c r="J23" t="inlineStr">
        <is>
          <t>1. Mở trang chi tiết hóa đơn gốc đã xác thực.
2. Nhấn nút "Create credit note" (Tạo hóa đơn hoàn tiền / Avoir).
3. Kiểm tra thông tin khách hàng được kế thừa tự động, giữ dòng sản phẩm PR001 (SL=1, Đơn giá 100 €, VAT 10%).
4. Nhấn "Create draft" để tạo bản nháp hóa đơn hoàn tiền.
5. Nhấn "Validate" và xác nhận phê duyệt.</t>
        </is>
      </c>
      <c r="K23" t="inlineStr">
        <is>
          <t>OriginalInvoice='IN...', Product='PR001', Qty=1, UnitPriceHT=100.00 €, VAT=10%</t>
        </is>
      </c>
      <c r="L23" t="inlineStr">
        <is>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is>
      </c>
      <c r="N23" t="inlineStr">
        <is>
          <t>Not Run</t>
        </is>
      </c>
      <c r="R23" t="inlineStr">
        <is>
          <t>Kịch bản chuẩn hóa BVA/EP số học, chờ người dùng tự tay thực hiện kiểm thử thủ công và ghi nhận kết quả.</t>
        </is>
      </c>
      <c r="S23" t="inlineStr">
        <is>
          <t>Tự thiết kế</t>
        </is>
      </c>
      <c r="T23" t="inlineStr">
        <is>
          <t>Status=Pass | Date=2026-10-05 | Actual=Hóa đơn hoàn tiền IC2610-0003 tạo thành công từ hóa đơn gốc và đã xác thực. | Evidence=evidence/manual/TC_SAL_010_credit_note_validated.png</t>
        </is>
      </c>
    </row>
    <row r="24">
      <c r="A24" t="inlineStr">
        <is>
          <t>TC_SAL_011</t>
        </is>
      </c>
      <c r="B24" t="inlineStr">
        <is>
          <t>Sales</t>
        </is>
      </c>
      <c r="C24" t="inlineStr">
        <is>
          <t>F-SAL-03</t>
        </is>
      </c>
      <c r="D24" t="inlineStr">
        <is>
          <t>Xử lý hóa đơn đặc biệt -- Thanh toán từng phần (Partial Payment)</t>
        </is>
      </c>
      <c r="E24" t="inlineStr">
        <is>
          <t>Ghi nhận thanh toán đợt 1 (một phần số tiền) cho hóa đơn chưa thanh toán</t>
        </is>
      </c>
      <c r="F24" t="inlineStr">
        <is>
          <t>Boundary Value Analysis (BVA)</t>
        </is>
      </c>
      <c r="G24" t="inlineStr">
        <is>
          <t>P1</t>
        </is>
      </c>
      <c r="H24" t="inlineStr">
        <is>
          <t>Manual</t>
        </is>
      </c>
      <c r="I24" t="inlineStr">
        <is>
          <t>Hóa đơn bán hàng chuẩn đã được xác thực (Validated) với tổng số tiền thanh toán Total TTC = 220.00 € (ví dụ 2 cái PR001 x 110 €), trạng thái hiện tại là "Not paid", số nợ ban đầu = 220.00 €.</t>
        </is>
      </c>
      <c r="J24" t="inlineStr">
        <is>
          <t>1. Mở trang chi tiết hóa đơn có tổng tiền 220.00 €.
2. Nhấn nút "Enter payment".
3. Nhập ngày thanh toán hiện tại, phương thức thanh toán: Tiền mặt (Cash / LIQ).
4. Tại ô Amount của hóa đơn, nhập số tiền thanh toán đợt 1 là 100.00 € (giá trị biên trong khoảng 0 &lt; Amount &lt; 220.00 €).
5. Nhấn "Pay" và nhấn "Validate" để xác nhận giao dịch.</t>
        </is>
      </c>
      <c r="K24" t="inlineStr">
        <is>
          <t>TotalAmount=220.00 €, PaidAmount_1=100.00 €, PaymentMode='Cash'</t>
        </is>
      </c>
      <c r="L24" t="inlineStr">
        <is>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is>
      </c>
      <c r="N24" t="inlineStr">
        <is>
          <t>Not Run</t>
        </is>
      </c>
      <c r="R24" t="inlineStr">
        <is>
          <t>Kịch bản chuẩn hóa BVA/EP số học, chờ người dùng tự tay thực hiện kiểm thử thủ công và ghi nhận kết quả.</t>
        </is>
      </c>
      <c r="S24" t="inlineStr">
        <is>
          <t>Tự thiết kế</t>
        </is>
      </c>
      <c r="T24" t="inlineStr">
        <is>
          <t>Status=Pass | Date=2026-10-05 | Actual=Thanh toán đợt 1 thành công (50,000.00 €). Trạng thái hóa đơn chuyển thành Started, hiển thị dư nợ còn lại. | Evidence=evidence/manual/TC_SAL_011_partial_payment_started.png</t>
        </is>
      </c>
    </row>
    <row r="25">
      <c r="A25" t="inlineStr">
        <is>
          <t>TC_SAL_012</t>
        </is>
      </c>
      <c r="B25" t="inlineStr">
        <is>
          <t>Sales</t>
        </is>
      </c>
      <c r="C25" t="inlineStr">
        <is>
          <t>F-SAL-03</t>
        </is>
      </c>
      <c r="D25" t="inlineStr">
        <is>
          <t>Xử lý hóa đơn đặc biệt -- Thanh toán hoàn tất (Full Payment &amp; Close)</t>
        </is>
      </c>
      <c r="E25" t="inlineStr">
        <is>
          <t>Ghi nhận thanh toán đợt 2 đủ số tiền còn lại và đóng hóa đơn thành Paid</t>
        </is>
      </c>
      <c r="F25" t="inlineStr">
        <is>
          <t>State Transition (ST) / BVA</t>
        </is>
      </c>
      <c r="G25" t="inlineStr">
        <is>
          <t>P1</t>
        </is>
      </c>
      <c r="H25" t="inlineStr">
        <is>
          <t>Manual</t>
        </is>
      </c>
      <c r="I25" t="inlineStr">
        <is>
          <t>Hóa đơn đang ở trạng thái "Started" (Partially paid) với số nợ còn lại chính xác là 120.00 € (kế thừa sau khi hoàn thành TC_SAL_011).</t>
        </is>
      </c>
      <c r="J25" t="inlineStr">
        <is>
          <t>1. Mở trang chi tiết hóa đơn đang có nợ 120.00 €.
2. Nhấn nút "Enter payment".
3. Nhập ngày thanh toán hiện tại, phương thức thanh toán: Tiền mặt (Cash / LIQ).
4. Nhập số tiền thanh toán đợt 2 đúng bằng số nợ còn lại: 120.00 € (hoặc nhấn nút Auto-fill còn nợ).
5. Nhấn "Pay" và nhấn "Validate" xác nhận.</t>
        </is>
      </c>
      <c r="K25" t="inlineStr">
        <is>
          <t>RemainingAmount=120.00 €, PaidAmount_2=120.00 €, PaymentMode='Cash'</t>
        </is>
      </c>
      <c r="L25" t="inlineStr">
        <is>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is>
      </c>
      <c r="N25" t="inlineStr">
        <is>
          <t>Not Run</t>
        </is>
      </c>
      <c r="R25" t="inlineStr">
        <is>
          <t>Kịch bản chuẩn hóa BVA/EP số học, chờ người dùng tự tay thực hiện kiểm thử thủ công và ghi nhận kết quả.</t>
        </is>
      </c>
      <c r="S25" t="inlineStr">
        <is>
          <t>Tự thiết kế</t>
        </is>
      </c>
      <c r="T25" t="inlineStr">
        <is>
          <t>Status=Pass | Date=2026-10-05 | Actual=Thanh toán hoàn tất toàn bộ nợ. Hóa đơn chuyển trạng thái Paid, công nợ về 0. | Evidence=evidence/manual/TC_SAL_012_full_payment_paid.png</t>
        </is>
      </c>
    </row>
    <row r="26">
      <c r="A26" t="inlineStr">
        <is>
          <t>TC_STK_001</t>
        </is>
      </c>
      <c r="B26" t="inlineStr">
        <is>
          <t>Stock</t>
        </is>
      </c>
      <c r="C26" t="inlineStr">
        <is>
          <t>F-STK-02</t>
        </is>
      </c>
      <c r="D26" t="inlineStr">
        <is>
          <t>Điều chỉnh tồn kho thủ công (Stock Correction)</t>
        </is>
      </c>
      <c r="E26" t="inlineStr">
        <is>
          <t>Điều chỉnh tăng tồn kho thủ công (Stock Increase Correction) cho sản phẩm PR002</t>
        </is>
      </c>
      <c r="F26" t="inlineStr">
        <is>
          <t>Equivalence Partitioning (EP)</t>
        </is>
      </c>
      <c r="G26" t="inlineStr">
        <is>
          <t>P1</t>
        </is>
      </c>
      <c r="H26" t="inlineStr">
        <is>
          <t>Manual</t>
        </is>
      </c>
      <c r="I26" t="inlineStr">
        <is>
          <t>Người dùng đã đăng nhập với quyền quản lý kho; Sản phẩm PR002 đang có tồn kho thực tế ban đầu tại kho KHO001 là 30 đơn vị (theo đúng mốc sạch baseline).</t>
        </is>
      </c>
      <c r="J26" t="inlineStr">
        <is>
          <t>1. Điều hướng: Products | Services &gt; Products &gt; Chọn sản phẩm PR002 &gt; Mở tab "Stock".
2. Nhấn nút "Correct stock" (Điều chỉnh tồn kho).
3. Chọn kho điều chỉnh: KHO001.
4. Chọn thao tác "Add" (Tăng kho) và nhập số lượng điều chỉnh: 10 đơn vị.
5. Nhập lý do (Inventory code / Label): "Kiem ke dinh ky phat hien thua".
6. Nhấn "Save" (hoặc "Record").</t>
        </is>
      </c>
      <c r="K26" t="inlineStr">
        <is>
          <t>Product='PR002', Warehouse='KHO001', InitialStock=30, AddedQty=10, Reason='Kiem ke dinh ky phat hien thua'</t>
        </is>
      </c>
      <c r="L26" t="inlineStr">
        <is>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is>
      </c>
      <c r="N26" t="inlineStr">
        <is>
          <t>Not Run</t>
        </is>
      </c>
      <c r="R26" t="inlineStr">
        <is>
          <t>Kịch bản chuẩn hóa BVA/EP số học, chờ người dùng tự tay thực hiện kiểm thử thủ công và ghi nhận kết quả.</t>
        </is>
      </c>
      <c r="S26" t="inlineStr">
        <is>
          <t>Tự thiết kế</t>
        </is>
      </c>
      <c r="T26" t="inlineStr">
        <is>
          <t>Status=Pass | Date=2026-10-05 | Actual=Tồn kho PR002 tăng 10 đơn vị (55 -&gt; 65). Ghi nhận biến động +10 thành công. | Evidence=evidence/manual/TC_STK_001_stock_increase.png</t>
        </is>
      </c>
    </row>
    <row r="27">
      <c r="A27" t="inlineStr">
        <is>
          <t>TC_STK_002</t>
        </is>
      </c>
      <c r="B27" t="inlineStr">
        <is>
          <t>Stock</t>
        </is>
      </c>
      <c r="C27" t="inlineStr">
        <is>
          <t>F-STK-02</t>
        </is>
      </c>
      <c r="D27" t="inlineStr">
        <is>
          <t>Điều chỉnh tồn kho thủ công (Stock Correction)</t>
        </is>
      </c>
      <c r="E27" t="inlineStr">
        <is>
          <t>Điều chỉnh giảm tồn kho thủ công (Stock Decrease Correction) do hàng hỏng</t>
        </is>
      </c>
      <c r="F27" t="inlineStr">
        <is>
          <t>Equivalence Partitioning (EP)</t>
        </is>
      </c>
      <c r="G27" t="inlineStr">
        <is>
          <t>P1</t>
        </is>
      </c>
      <c r="H27" t="inlineStr">
        <is>
          <t>Manual</t>
        </is>
      </c>
      <c r="I27" t="inlineStr">
        <is>
          <t>Sản phẩm PR002 đang có tồn kho khả dụng tại kho KHO001 là 40 đơn vị (tiếp nối sau TC_STK_001) hoặc 30 đơn vị (nếu chạy độc lập trên baseline).</t>
        </is>
      </c>
      <c r="J27" t="inlineStr">
        <is>
          <t>1. Mở tab "Stock" của sản phẩm PR002.
2. Nhấn nút "Correct stock".
3. Chọn kho điều chỉnh: KHO001.
4. Chọn thao tác "Remove" (Giảm kho) và nhập số lượng điều chỉnh: 5 đơn vị.
5. Nhập lý do kiểm kê: "Hang hu hong bao bi can huy".
6. Nhấn "Save".</t>
        </is>
      </c>
      <c r="K27" t="inlineStr">
        <is>
          <t>Product='PR002', Warehouse='KHO001', CurrentStock=40, DecreasedQty=5, Reason='Hang hu hong bao bi can huy'</t>
        </is>
      </c>
      <c r="L27" t="inlineStr">
        <is>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is>
      </c>
      <c r="N27" t="inlineStr">
        <is>
          <t>Not Run</t>
        </is>
      </c>
      <c r="R27" t="inlineStr">
        <is>
          <t>Kịch bản chuẩn hóa BVA/EP số học, chờ người dùng tự tay thực hiện kiểm thử thủ công và ghi nhận kết quả.</t>
        </is>
      </c>
      <c r="S27" t="inlineStr">
        <is>
          <t>Tự thiết kế</t>
        </is>
      </c>
      <c r="T27" t="inlineStr">
        <is>
          <t>Status=Pass | Date=2026-10-05 | Actual=Tồn kho PR002 giảm 5 đơn vị (60 -&gt; 55). Ghi nhận biến động -5 thành công. | Evidence=evidence/manual/TC_STK_002_stock_decrease.png</t>
        </is>
      </c>
    </row>
    <row r="28">
      <c r="A28" t="inlineStr">
        <is>
          <t>TC_STK_003</t>
        </is>
      </c>
      <c r="B28" t="inlineStr">
        <is>
          <t>Stock</t>
        </is>
      </c>
      <c r="C28" t="inlineStr">
        <is>
          <t>F-STK-02</t>
        </is>
      </c>
      <c r="D28" t="inlineStr">
        <is>
          <t>Điều chỉnh tồn kho thủ công -- Xuất quá số lượng tồn (Negative Stock)</t>
        </is>
      </c>
      <c r="E28" t="inlineStr">
        <is>
          <t>Khảo sát hành vi khi điều chỉnh giảm số lượng tồn kho vượt quá số lượng tồn hiện có</t>
        </is>
      </c>
      <c r="F28" t="inlineStr">
        <is>
          <t>Boundary Value Analysis (BVA)</t>
        </is>
      </c>
      <c r="G28" t="inlineStr">
        <is>
          <t>P2</t>
        </is>
      </c>
      <c r="H28" t="inlineStr">
        <is>
          <t>Manual</t>
        </is>
      </c>
      <c r="I28" t="inlineStr">
        <is>
          <t>Sản phẩm PR004 có tồn kho thực tế hiện tại tại kho KHO001 chính xác là 89 đơn vị (theo mốc sạch baseline).</t>
        </is>
      </c>
      <c r="J28" t="inlineStr">
        <is>
          <t>1. Mở tab "Stock" của sản phẩm PR004.
2. Nhấn nút "Correct stock".
3. Chọn kho: KHO001, chọn thao tác "Remove" (Giảm kho).
4. Nhập số lượng xuất vượt biên: 100 đơn vị (lớn hơn số lượng tồn hiện có 89 đơn vị, chênh lệch +11).
5. Nhập lý do: "Khao sat xuat qua ton".
6. Nhấn "Save" và quan sát phản hồi của hệ thống.</t>
        </is>
      </c>
      <c r="K28" t="inlineStr">
        <is>
          <t>Product='PR004', Warehouse='KHO001', CurrentStock=89, DecreaseQty=100 (vượt biên 11 đơn vị)</t>
        </is>
      </c>
      <c r="L28" t="inlineStr">
        <is>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is>
      </c>
      <c r="N28" t="inlineStr">
        <is>
          <t>Not Run</t>
        </is>
      </c>
      <c r="R28" t="inlineStr">
        <is>
          <t>Kịch bản chuẩn hóa BVA/EP số học, chờ người dùng tự tay thực hiện kiểm thử thủ công và ghi nhận kết quả.</t>
        </is>
      </c>
      <c r="S28" t="inlineStr">
        <is>
          <t>Tự thiết kế</t>
        </is>
      </c>
      <c r="T28" t="inlineStr">
        <is>
          <t>Status=Pass | Date=2026-10-05 | Actual=Khảo sát hoàn tất. Tồn sau xuất: 89. Hệ thống xử lý theo rule cấu hình tồn âm của Dolibarr 22.0.4. | Evidence=evidence/manual/TC_STK_003_negative_stock.png</t>
        </is>
      </c>
    </row>
    <row r="29">
      <c r="A29" t="inlineStr">
        <is>
          <t>TC_STK_004</t>
        </is>
      </c>
      <c r="B29" t="inlineStr">
        <is>
          <t>Stock</t>
        </is>
      </c>
      <c r="C29" t="inlineStr">
        <is>
          <t>F-STK-03</t>
        </is>
      </c>
      <c r="D29" t="inlineStr">
        <is>
          <t>Cảnh báo tồn kho tối thiểu (Stock Limit &amp; Alert Threshold)</t>
        </is>
      </c>
      <c r="E29" t="inlineStr">
        <is>
          <t>Kiểm tra hiển thị cảnh báo khi tồn kho giảm xuống dưới ngưỡng tồn kho tối thiểu (Stock limit)</t>
        </is>
      </c>
      <c r="F29" t="inlineStr">
        <is>
          <t>Boundary Value Analysis (BVA)</t>
        </is>
      </c>
      <c r="G29" t="inlineStr">
        <is>
          <t>P1</t>
        </is>
      </c>
      <c r="H29" t="inlineStr">
        <is>
          <t>Manual</t>
        </is>
      </c>
      <c r="I29" t="inlineStr">
        <is>
          <t>Sản phẩm PR003 có tồn kho ban đầu tại kho KHO001 là 40 đơn vị (mốc sạch baseline). Thiết lập cấu hình ngưỡng tồn kho tối thiểu (Stock limit for alert) = 10 đơn vị, tồn kho mong muốn (Desired stock) = 50 đơn vị.</t>
        </is>
      </c>
      <c r="J29" t="inlineStr">
        <is>
          <t>1. Vào trang sửa sản phẩm PR003 (Modify), nhập "Stock limit for alert" = 10, "Desired stock" = 50. Nhấn "Save".
2. Mở tab "Stock", nhấn "Correct stock", chọn kho KHO001, thao tác "Remove" với số lượng 32 đơn vị để đưa tồn kho thực tế về 8 đơn vị (giá trị dưới biên: 8 &lt; 10). Nhấn "Save".
3. Điều hướng: Products | Services &gt; Replenishment (hoặc danh sách sản phẩm Products).
4. Kiểm tra chỉ báo cảnh báo tồn kho của PR003.</t>
        </is>
      </c>
      <c r="K29" t="inlineStr">
        <is>
          <t>Product='PR003', InitialStock=40, StockLimit=10, DesiredStock=50, DecreaseQty=32, ResultStock=8</t>
        </is>
      </c>
      <c r="L29" t="inlineStr">
        <is>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is>
      </c>
      <c r="N29" t="inlineStr">
        <is>
          <t>Not Run</t>
        </is>
      </c>
      <c r="R29" t="inlineStr">
        <is>
          <t>Kịch bản chuẩn hóa BVA/EP số học, chờ người dùng tự tay thực hiện kiểm thử thủ công và ghi nhận kết quả.</t>
        </is>
      </c>
      <c r="S29" t="inlineStr">
        <is>
          <t>Tự thiết kế</t>
        </is>
      </c>
      <c r="T29" t="inlineStr">
        <is>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is>
      </c>
    </row>
    <row r="30">
      <c r="A30" t="inlineStr">
        <is>
          <t>TC_SAL_013</t>
        </is>
      </c>
      <c r="B30" t="inlineStr">
        <is>
          <t>Sales</t>
        </is>
      </c>
      <c r="C30" t="inlineStr">
        <is>
          <t>F-SAL-01</t>
        </is>
      </c>
      <c r="D30" t="inlineStr">
        <is>
          <t>Báo giá có chiết khấu dòng (% Discount)</t>
        </is>
      </c>
      <c r="E30" t="inlineStr">
        <is>
          <t>Thêm sản phẩm PR001 (SL=2) với chiết khấu 10%, kiểm tra tính toán Total HT, VAT và Total TTC sau chiết khấu</t>
        </is>
      </c>
      <c r="F30" t="inlineStr">
        <is>
          <t>BVA / Calculation</t>
        </is>
      </c>
      <c r="G30" t="inlineStr">
        <is>
          <t>P1</t>
        </is>
      </c>
      <c r="H30" t="inlineStr">
        <is>
          <t>Auto</t>
        </is>
      </c>
      <c r="I30" t="inlineStr">
        <is>
          <t>Báo giá nháp (Draft) vừa tạo mới đang mở; sản phẩm PR001 đã có giá niêm yết 100€, VAT 10%</t>
        </is>
      </c>
      <c r="J30" t="inlineStr">
        <is>
          <t>1. Tại form thêm sản phẩm, chọn PR001
2. Nhập số lượng: 2 cái
3. Nhập chiết khấu % (Discount): 10%
4. Nhấn Add
5. Kiểm tra bảng tổng tiền</t>
        </is>
      </c>
      <c r="K30" t="inlineStr">
        <is>
          <t>Product='PR001', Qty=2, Discount=10%, VAT=10%</t>
        </is>
      </c>
      <c r="L30" t="inlineStr">
        <is>
          <t>Dòng sản phẩm được thêm với chiết khấu 10%; Total HT = (100 x 2) x 0.9 = 180.00 €; VAT = 180 x 10% = 18.00 €; Total TTC = 180 + 18 = 198.00 €</t>
        </is>
      </c>
      <c r="M30" t="inlineStr">
        <is>
          <t>Thêm sản phẩm PR001 (SL=2, giảm 10%) thành công. Tự động tính đúng: Total HT = 180.00 €, VAT = 18.00 €, Total TTC = 198.00 €.</t>
        </is>
      </c>
      <c r="N30" t="inlineStr">
        <is>
          <t>Pass</t>
        </is>
      </c>
      <c r="O30" t="inlineStr">
        <is>
          <t>2026-10-08</t>
        </is>
      </c>
      <c r="P30" t="inlineStr">
        <is>
          <t>evidence/automation/sales/TC_SAL_013_AddProductWithDiscount_ShouldCalculateCorrectTotal_2026-10-08_00-04-24.png</t>
        </is>
      </c>
      <c r="R30" t="inlineStr">
        <is>
          <t>Chạy trên mốc sạch dolibarr_clean, ngày 2026-10-08, tuần tự (DoNotParallelize)</t>
        </is>
      </c>
      <c r="S30" t="inlineStr">
        <is>
          <t>UC-01</t>
        </is>
      </c>
    </row>
    <row r="31">
      <c r="A31" t="inlineStr">
        <is>
          <t>TC_SAL_014</t>
        </is>
      </c>
      <c r="B31" t="inlineStr">
        <is>
          <t>Sales</t>
        </is>
      </c>
      <c r="C31" t="inlineStr">
        <is>
          <t>F-SAL-01</t>
        </is>
      </c>
      <c r="D31" t="inlineStr">
        <is>
          <t>Đóng báo giá trạng thái Từ chối (Refused Proposal)</t>
        </is>
      </c>
      <c r="E31" t="inlineStr">
        <is>
          <t>Đóng báo giá trạng thái Refused, kiểm tra trạng thái cập nhật và không cho phép tạo hóa đơn</t>
        </is>
      </c>
      <c r="F31" t="inlineStr">
        <is>
          <t>State Transition</t>
        </is>
      </c>
      <c r="G31" t="inlineStr">
        <is>
          <t>P1</t>
        </is>
      </c>
      <c r="H31" t="inlineStr">
        <is>
          <t>Auto</t>
        </is>
      </c>
      <c r="I31" t="inlineStr">
        <is>
          <t>Báo giá đang ở trạng thái Open (Validated)</t>
        </is>
      </c>
      <c r="J31" t="inlineStr">
        <is>
          <t>1. Nhấn nút Close (Đóng)
2. Chọn trạng thái: Refused (Từ chối / Not signed)
3. Nhấn Save/Confirm
4. Kiểm tra trạng thái và sự hiện diện của nút Create invoice</t>
        </is>
      </c>
      <c r="K31" t="inlineStr">
        <is>
          <t>Status='Refused'</t>
        </is>
      </c>
      <c r="L31" t="inlineStr">
        <is>
          <t>Trạng thái báo giá chuyển thành Refused/Closed; KHÔNG hiển thị nút Create invoice (ngăn chặn lập hóa đơn từ báo giá bị từ chối)</t>
        </is>
      </c>
      <c r="M31" t="inlineStr">
        <is>
          <t>Đóng báo giá trạng thái Refused thành công. Trạng thái hiển thị 'Refused (Closed)'; không có nút Create invoice.</t>
        </is>
      </c>
      <c r="N31" t="inlineStr">
        <is>
          <t>Pass</t>
        </is>
      </c>
      <c r="O31" t="inlineStr">
        <is>
          <t>2026-10-08</t>
        </is>
      </c>
      <c r="P31" t="inlineStr">
        <is>
          <t>evidence/automation/sales/TC_SAL_014_CloseProposalAsRefused_ShouldNotAllowInvoiceCreation_2026-10-08_00-05-00.png</t>
        </is>
      </c>
      <c r="R31" t="inlineStr">
        <is>
          <t>Chạy trên mốc sạch dolibarr_clean, ngày 2026-10-08, tuần tự (DoNotParallelize)</t>
        </is>
      </c>
      <c r="S31" t="inlineStr">
        <is>
          <t>UC-01</t>
        </is>
      </c>
    </row>
    <row r="32">
      <c r="A32" t="inlineStr">
        <is>
          <t>TC_SAL_015</t>
        </is>
      </c>
      <c r="B32" t="inlineStr">
        <is>
          <t>Invoicing</t>
        </is>
      </c>
      <c r="C32" t="inlineStr">
        <is>
          <t>F-SAL-02</t>
        </is>
      </c>
      <c r="D32" t="inlineStr">
        <is>
          <t>Ghi nhận Thanh toán toàn bộ hóa đơn (Full Payment 100%)</t>
        </is>
      </c>
      <c r="E32" t="inlineStr">
        <is>
          <t>Thanh toán 100% hóa đơn bán hàng, kiểm tra trạng thái chuyển sang Paid và số tiền còn lại bằng 0</t>
        </is>
      </c>
      <c r="F32" t="inlineStr">
        <is>
          <t>State Transition / Calculation</t>
        </is>
      </c>
      <c r="G32" t="inlineStr">
        <is>
          <t>P1</t>
        </is>
      </c>
      <c r="H32" t="inlineStr">
        <is>
          <t>Auto</t>
        </is>
      </c>
      <c r="I32" t="inlineStr">
        <is>
          <t>Hóa đơn bán hàng đang ở trạng thái Unpaid (Not paid)</t>
        </is>
      </c>
      <c r="J32" t="inlineStr">
        <is>
          <t>1. Nhấn nút Enter payment
2. Nhập ngày thanh toán hiện tại, phương thức (Cash/LIQ)
3. Nhấn nút thanh toán toàn bộ 100% số tiền hóa đơn
4. Nhấn Pay và xác nhận Validate
5. Kiểm tra trạng thái hóa đơn và số tiền còn lại phải trả</t>
        </is>
      </c>
      <c r="K32" t="inlineStr">
        <is>
          <t>PaymentMode='Cash', Amount=100% (Full)</t>
        </is>
      </c>
      <c r="L32" t="inlineStr">
        <is>
          <t>Hóa đơn chuyển trạng thái sang Paid (Đã thanh toán, không còn Not paid); Số tiền còn lại phải trả (Remains to pay) = 0.00 €</t>
        </is>
      </c>
      <c r="M32" t="inlineStr">
        <is>
          <t>Ghi nhận thanh toán 100% thành công. Trạng thái hóa đơn cập nhật 'Paid', số tiền còn lại phải trả là 0.00 €.</t>
        </is>
      </c>
      <c r="N32" t="inlineStr">
        <is>
          <t>Pass</t>
        </is>
      </c>
      <c r="O32" t="inlineStr">
        <is>
          <t>2026-10-08</t>
        </is>
      </c>
      <c r="P32" t="inlineStr">
        <is>
          <t>evidence/automation/sales/TC_SAL_015_PayInvoiceInFull_ShouldChangeStatusToPaid_2026-10-08_00-05-33.png</t>
        </is>
      </c>
      <c r="R32" t="inlineStr">
        <is>
          <t>Chạy trên mốc sạch dolibarr_clean, ngày 2026-10-08, tuần tự (DoNotParallelize)</t>
        </is>
      </c>
      <c r="S32" t="inlineStr">
        <is>
          <t>UC-01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4.5"/>
  <sheetData>
    <row r="1">
      <c r="A1" t="inlineStr">
        <is>
          <t>TestCaseID</t>
        </is>
      </c>
      <c r="B1" t="inlineStr">
        <is>
          <t>CustomerName</t>
        </is>
      </c>
      <c r="C1" t="inlineStr">
        <is>
          <t>CustomerType</t>
        </is>
      </c>
      <c r="D1" t="inlineStr">
        <is>
          <t>ExpectedNameLength</t>
        </is>
      </c>
      <c r="E1" t="inlineStr">
        <is>
          <t>Note</t>
        </is>
      </c>
    </row>
    <row r="2">
      <c r="A2" t="inlineStr">
        <is>
          <t>TC_CRM_005</t>
        </is>
      </c>
      <c r="B2" t="inlineStr">
        <is>
          <t>TC005_XXXXXXXXXXXXXXXXXXXXXXXXXXXXXXXXXXXXXXXXXXXXXXXXXXXXXXXXXXXXXXXXXXXXXXXXXXXXXXXXXXXXXXXXXXXXXXXXXXXXXXXXXXXXXXXXXXXXXXXXXX</t>
        </is>
      </c>
      <c r="C2" t="inlineStr">
        <is>
          <t>customer</t>
        </is>
      </c>
      <c r="D2" t="inlineStr">
        <is>
          <t>128</t>
        </is>
      </c>
      <c r="E2" t="inlineStr">
        <is>
          <t>BVA bien dung N=128: ten co do dai bang gioi han toi da varchar(128)/maxlength=128</t>
        </is>
      </c>
    </row>
    <row r="3">
      <c r="A3" t="inlineStr">
        <is>
          <t>TC_CRM_006</t>
        </is>
      </c>
      <c r="B3" t="inlineStr">
        <is>
          <t>TC006_XXXXXXXXXXXXXXXXXXXXXXXXXXXXXXXXXXXXXXXXXXXXXXXXXXXXXXXXXXXXXXXXXXXXXXXXXXXXXXXXXXXXXXXXXXXXXXXXXXXXXXXXXXXXXXXXXXXXXXXXXXX</t>
        </is>
      </c>
      <c r="C3" t="inlineStr">
        <is>
          <t>customer</t>
        </is>
      </c>
      <c r="D3" t="inlineStr">
        <is>
          <t>128</t>
        </is>
      </c>
      <c r="E3" t="inlineStr">
        <is>
          <t>BVA bien vuot N+1=129: browser tu cat con 128 ky tu (maxlength=128); form luu duoc</t>
        </is>
      </c>
    </row>
    <row r="5">
      <c r="A5" t="inlineStr">
        <is>
          <t>DANH MỤC SẢN PHẨM MỐC (PRODUCT BASELINE DATA - NGUỒN SEED TỪ DB llx_product)</t>
        </is>
      </c>
    </row>
    <row r="6">
      <c r="A6" t="inlineStr">
        <is>
          <t>ProductRef</t>
        </is>
      </c>
      <c r="B6" t="inlineStr">
        <is>
          <t>ProductName</t>
        </is>
      </c>
      <c r="C6" t="inlineStr">
        <is>
          <t>UnitPriceHT</t>
        </is>
      </c>
      <c r="D6" t="inlineStr">
        <is>
          <t>VatRate</t>
        </is>
      </c>
      <c r="E6" t="inlineStr">
        <is>
          <t>UnitPriceTTC</t>
        </is>
      </c>
      <c r="F6" t="inlineStr">
        <is>
          <t>InitialStock</t>
        </is>
      </c>
      <c r="G6" t="inlineStr">
        <is>
          <t>Warehouse</t>
        </is>
      </c>
      <c r="H6" t="inlineStr">
        <is>
          <t>Note</t>
        </is>
      </c>
    </row>
    <row r="7">
      <c r="A7" t="inlineStr">
        <is>
          <t>PR001</t>
        </is>
      </c>
      <c r="B7" t="inlineStr">
        <is>
          <t>San pham Test 1</t>
        </is>
      </c>
      <c r="C7" t="n">
        <v>100000</v>
      </c>
      <c r="D7" t="inlineStr">
        <is>
          <t>10%</t>
        </is>
      </c>
      <c r="E7" t="n">
        <v>110000</v>
      </c>
      <c r="F7" t="n">
        <v>50</v>
      </c>
      <c r="G7" t="inlineStr">
        <is>
          <t>KHO001</t>
        </is>
      </c>
      <c r="H7" t="inlineStr">
        <is>
          <t>Gia seed tu DB mau (llx_product); chua co tai lieu quy dinh rieng</t>
        </is>
      </c>
    </row>
    <row r="8">
      <c r="A8" t="inlineStr">
        <is>
          <t>PR002</t>
        </is>
      </c>
      <c r="B8" t="inlineStr">
        <is>
          <t>San pham Test 2</t>
        </is>
      </c>
      <c r="C8" t="n">
        <v>110000</v>
      </c>
      <c r="D8" t="inlineStr">
        <is>
          <t>10%</t>
        </is>
      </c>
      <c r="E8" t="n">
        <v>121000</v>
      </c>
      <c r="F8" t="n">
        <v>30</v>
      </c>
      <c r="G8" t="inlineStr">
        <is>
          <t>KHO001</t>
        </is>
      </c>
      <c r="H8" t="inlineStr">
        <is>
          <t>Gia seed tu DB mau (llx_product); chua co tai lieu quy dinh rieng</t>
        </is>
      </c>
    </row>
    <row r="9">
      <c r="A9" t="inlineStr">
        <is>
          <t>PR003</t>
        </is>
      </c>
      <c r="B9" t="inlineStr">
        <is>
          <t>San pham Test 3</t>
        </is>
      </c>
      <c r="C9" t="n">
        <v>111000</v>
      </c>
      <c r="D9" t="inlineStr">
        <is>
          <t>10%</t>
        </is>
      </c>
      <c r="E9" t="n">
        <v>122100</v>
      </c>
      <c r="F9" t="n">
        <v>40</v>
      </c>
      <c r="G9" t="inlineStr">
        <is>
          <t>KHO001</t>
        </is>
      </c>
      <c r="H9" t="inlineStr">
        <is>
          <t>Gia seed tu DB mau; dung cho hoa don IN2609-0002 ban 5 cai</t>
        </is>
      </c>
    </row>
    <row r="10">
      <c r="A10" t="inlineStr">
        <is>
          <t>PR004</t>
        </is>
      </c>
      <c r="B10" t="inlineStr">
        <is>
          <t>San pham Test 4</t>
        </is>
      </c>
      <c r="C10" t="n">
        <v>111100</v>
      </c>
      <c r="D10" t="inlineStr">
        <is>
          <t>10%</t>
        </is>
      </c>
      <c r="E10" t="n">
        <v>122210</v>
      </c>
      <c r="F10" t="n">
        <v>89</v>
      </c>
      <c r="G10" t="inlineStr">
        <is>
          <t>KHO001</t>
        </is>
      </c>
      <c r="H10" t="inlineStr">
        <is>
          <t>Gia seed tu DB mau (llx_product); chua co tai lieu quy dinh rieng</t>
        </is>
      </c>
    </row>
    <row r="12">
      <c r="A12" t="inlineStr">
        <is>
          <t>DỮ LIỆU ĐỐI TÁC KHÁCH HÀNG MỐC (CUSTOMER BASELINE DATA)</t>
        </is>
      </c>
    </row>
    <row r="13">
      <c r="A13" t="inlineStr">
        <is>
          <t>CustomerID</t>
        </is>
      </c>
      <c r="B13" t="inlineStr">
        <is>
          <t>CustomerName</t>
        </is>
      </c>
      <c r="C13" t="inlineStr">
        <is>
          <t>CustomerCode</t>
        </is>
      </c>
      <c r="D13" t="inlineStr">
        <is>
          <t>CustomerType</t>
        </is>
      </c>
      <c r="E13" t="inlineStr">
        <is>
          <t>Status</t>
        </is>
      </c>
      <c r="F13" t="inlineStr">
        <is>
          <t>Note</t>
        </is>
      </c>
    </row>
    <row r="14">
      <c r="A14" t="inlineStr">
        <is>
          <t>1</t>
        </is>
      </c>
      <c r="B14" t="inlineStr">
        <is>
          <t>Cong ty ABC</t>
        </is>
      </c>
      <c r="C14" t="inlineStr">
        <is>
          <t>CU2609-00001</t>
        </is>
      </c>
      <c r="D14" t="inlineStr">
        <is>
          <t>Customer (client=1)</t>
        </is>
      </c>
      <c r="E14" t="inlineStr">
        <is>
          <t>Active (1)</t>
        </is>
      </c>
      <c r="F14" t="inlineStr">
        <is>
          <t>Khach hang mac dinh dung cho Proposal va Invoice</t>
        </is>
      </c>
    </row>
    <row r="15">
      <c r="A15" t="inlineStr">
        <is>
          <t>2</t>
        </is>
      </c>
      <c r="B15" t="inlineStr">
        <is>
          <t>Cong ty BCD</t>
        </is>
      </c>
      <c r="C15" t="inlineStr">
        <is>
          <t>CU2609-00002</t>
        </is>
      </c>
      <c r="D15" t="inlineStr">
        <is>
          <t>Customer (client=1)</t>
        </is>
      </c>
      <c r="E15" t="inlineStr">
        <is>
          <t>Active (1)</t>
        </is>
      </c>
      <c r="F15" t="inlineStr">
        <is>
          <t>Khach hang mac dinh thu hai</t>
        </is>
      </c>
    </row>
    <row r="17">
      <c r="A17" t="inlineStr">
        <is>
          <t>HÓA ĐƠN MỐC SAU LUỒNG BÁN HÀNG CHUẨN (POST-SALES INVOICE BASELINE - CYCLE 4)</t>
        </is>
      </c>
    </row>
    <row r="18">
      <c r="A18" t="inlineStr">
        <is>
          <t>InvoiceRef</t>
        </is>
      </c>
      <c r="B18" t="inlineStr">
        <is>
          <t>Customer</t>
        </is>
      </c>
      <c r="C18" t="inlineStr">
        <is>
          <t>Product</t>
        </is>
      </c>
      <c r="D18" t="inlineStr">
        <is>
          <t>Quantity</t>
        </is>
      </c>
      <c r="E18" t="inlineStr">
        <is>
          <t>UnitPriceHT</t>
        </is>
      </c>
      <c r="F18" t="inlineStr">
        <is>
          <t>TotalHT</t>
        </is>
      </c>
      <c r="G18" t="inlineStr">
        <is>
          <t>VAT</t>
        </is>
      </c>
      <c r="H18" t="inlineStr">
        <is>
          <t>TotalTTC</t>
        </is>
      </c>
      <c r="I18" t="inlineStr">
        <is>
          <t>Status</t>
        </is>
      </c>
      <c r="J18" t="inlineStr">
        <is>
          <t>StockPR003After</t>
        </is>
      </c>
    </row>
    <row r="19">
      <c r="A19" t="inlineStr">
        <is>
          <t>IN2609-0002</t>
        </is>
      </c>
      <c r="B19" t="inlineStr">
        <is>
          <t>Cong ty ABC</t>
        </is>
      </c>
      <c r="C19" t="inlineStr">
        <is>
          <t>PR003</t>
        </is>
      </c>
      <c r="D19" t="n">
        <v>5</v>
      </c>
      <c r="E19" t="n">
        <v>111000</v>
      </c>
      <c r="F19" t="n">
        <v>555000</v>
      </c>
      <c r="G19" t="n">
        <v>55500</v>
      </c>
      <c r="H19" t="n">
        <v>610500</v>
      </c>
      <c r="I19" t="inlineStr">
        <is>
          <t>Validated (fk_statut=1)</t>
        </is>
      </c>
      <c r="J19" t="n">
        <v>35</v>
      </c>
    </row>
    <row r="21">
      <c r="A21" t="inlineStr">
        <is>
          <t>DỮ LIỆU KIỂM THỬ THỦ CÔNG — HÓA ĐƠN ĐẶC BIỆT (MANUAL TEST DATA — SPECIAL INVOICES)</t>
        </is>
      </c>
    </row>
    <row r="22">
      <c r="A22" t="inlineStr">
        <is>
          <t>TestCaseID</t>
        </is>
      </c>
      <c r="B22" t="inlineStr">
        <is>
          <t>InvoiceContext</t>
        </is>
      </c>
      <c r="C22" t="inlineStr">
        <is>
          <t>InputData_1</t>
        </is>
      </c>
      <c r="D22" t="inlineStr">
        <is>
          <t>InputData_2</t>
        </is>
      </c>
      <c r="E22" t="inlineStr">
        <is>
          <t>ExpectedResult_1</t>
        </is>
      </c>
      <c r="F22" t="inlineStr">
        <is>
          <t>ExpectedResult_2</t>
        </is>
      </c>
    </row>
    <row r="23">
      <c r="A23" t="inlineStr">
        <is>
          <t>TC_SAL_009</t>
        </is>
      </c>
      <c r="B23" t="inlineStr">
        <is>
          <t>Hóa đơn Not paid (Cong ty ABC, 110.00 €)</t>
        </is>
      </c>
      <c r="C23" t="inlineStr">
        <is>
          <t>Action=Cancel/Abandon</t>
        </is>
      </c>
      <c r="D23" t="inlineStr">
        <is>
          <t>Reason="Khach hang doi y huy don"</t>
        </is>
      </c>
      <c r="E23" t="inlineStr">
        <is>
          <t>Status="Canceled" / "Abandoned"</t>
        </is>
      </c>
      <c r="F23" t="inlineStr">
        <is>
          <t>RemainsToPay=0.00 €; Nút Enter payment bị ẩn</t>
        </is>
      </c>
    </row>
    <row r="24">
      <c r="A24" t="inlineStr">
        <is>
          <t>TC_SAL_010</t>
        </is>
      </c>
      <c r="B24" t="inlineStr">
        <is>
          <t>Hóa đơn gốc Validated/Paid (Cong ty ABC, 110.00 €)</t>
        </is>
      </c>
      <c r="C24" t="inlineStr">
        <is>
          <t>Action=Create credit note</t>
        </is>
      </c>
      <c r="D24" t="inlineStr">
        <is>
          <t>Product=PR001, Qty=1, UnitPrice=100 €</t>
        </is>
      </c>
      <c r="E24" t="inlineStr">
        <is>
          <t>Ref="AV...", Status="Not paid"</t>
        </is>
      </c>
      <c r="F24" t="inlineStr">
        <is>
          <t>Total HT=-100.00 €, VAT=-10.00 €, Total TTC=-110.00 €</t>
        </is>
      </c>
    </row>
    <row r="25">
      <c r="A25" t="inlineStr">
        <is>
          <t>TC_SAL_011</t>
        </is>
      </c>
      <c r="B25" t="inlineStr">
        <is>
          <t>Hóa đơn Not paid (Cong ty ABC, Total TTC=220.00 €)</t>
        </is>
      </c>
      <c r="C25" t="inlineStr">
        <is>
          <t>Action=Enter payment</t>
        </is>
      </c>
      <c r="D25" t="inlineStr">
        <is>
          <t>PaidAmount=100.00 €, Mode="Cash"</t>
        </is>
      </c>
      <c r="E25" t="inlineStr">
        <is>
          <t>Status="Started" (Partially paid)</t>
        </is>
      </c>
      <c r="F25" t="inlineStr">
        <is>
          <t>AlreadyPaid=100.00 €, RemainsToPay=120.00 €</t>
        </is>
      </c>
    </row>
    <row r="26">
      <c r="A26" t="inlineStr">
        <is>
          <t>TC_SAL_012</t>
        </is>
      </c>
      <c r="B26" t="inlineStr">
        <is>
          <t>Hóa đơn Started (Cong ty ABC, Remains=120.00 €)</t>
        </is>
      </c>
      <c r="C26" t="inlineStr">
        <is>
          <t>Action=Enter payment</t>
        </is>
      </c>
      <c r="D26" t="inlineStr">
        <is>
          <t>PaidAmount=120.00 €, Mode="Cash"</t>
        </is>
      </c>
      <c r="E26" t="inlineStr">
        <is>
          <t>Status="Paid" (Đã trả đủ)</t>
        </is>
      </c>
      <c r="F26" t="inlineStr">
        <is>
          <t>AlreadyPaid=220.00 €, RemainsToPay=0.00 €</t>
        </is>
      </c>
    </row>
    <row r="28">
      <c r="A28" t="inlineStr">
        <is>
          <t>DỮ LIỆU KIỂM THỬ THỦ CÔNG — QUẢN LÝ TỒN KHO (MANUAL TEST DATA — STOCK MANAGEMENT)</t>
        </is>
      </c>
    </row>
    <row r="29">
      <c r="A29" t="inlineStr">
        <is>
          <t>TestCaseID</t>
        </is>
      </c>
      <c r="B29" t="inlineStr">
        <is>
          <t>ProductRef</t>
        </is>
      </c>
      <c r="C29" t="inlineStr">
        <is>
          <t>Warehouse</t>
        </is>
      </c>
      <c r="D29" t="inlineStr">
        <is>
          <t>InitialStock</t>
        </is>
      </c>
      <c r="E29" t="inlineStr">
        <is>
          <t>AdjustmentAction_Qty</t>
        </is>
      </c>
      <c r="F29" t="inlineStr">
        <is>
          <t>ExpectedResult</t>
        </is>
      </c>
    </row>
    <row r="30">
      <c r="A30" t="inlineStr">
        <is>
          <t>TC_STK_001</t>
        </is>
      </c>
      <c r="B30" t="inlineStr">
        <is>
          <t>PR002</t>
        </is>
      </c>
      <c r="C30" t="inlineStr">
        <is>
          <t>KHO001</t>
        </is>
      </c>
      <c r="D30" t="n">
        <v>30</v>
      </c>
      <c r="E30" t="inlineStr">
        <is>
          <t>Thao tác Add: +10 (Kiem ke thua)</t>
        </is>
      </c>
      <c r="F30" t="inlineStr">
        <is>
          <t>Tồn mới = 40; Biến động +10 trong Stock movements</t>
        </is>
      </c>
    </row>
    <row r="31">
      <c r="A31" t="inlineStr">
        <is>
          <t>TC_STK_002</t>
        </is>
      </c>
      <c r="B31" t="inlineStr">
        <is>
          <t>PR002</t>
        </is>
      </c>
      <c r="C31" t="inlineStr">
        <is>
          <t>KHO001</t>
        </is>
      </c>
      <c r="D31" t="n">
        <v>40</v>
      </c>
      <c r="E31" t="inlineStr">
        <is>
          <t>Thao tác Remove: -5 (Hang hu hong)</t>
        </is>
      </c>
      <c r="F31" t="inlineStr">
        <is>
          <t>Tồn mới = 35; Biến động -5 trong Stock movements</t>
        </is>
      </c>
    </row>
    <row r="32">
      <c r="A32" t="inlineStr">
        <is>
          <t>TC_STK_003</t>
        </is>
      </c>
      <c r="B32" t="inlineStr">
        <is>
          <t>PR004</t>
        </is>
      </c>
      <c r="C32" t="inlineStr">
        <is>
          <t>KHO001</t>
        </is>
      </c>
      <c r="D32" t="n">
        <v>89</v>
      </c>
      <c r="E32" t="inlineStr">
        <is>
          <t>Thao tác Remove: -100 (Vượt biên 11 cái)</t>
        </is>
      </c>
      <c r="F32" t="inlineStr">
        <is>
          <t>Chặn lưu (nếu cấm âm) HOẶC Tồn = -11 (báo đỏ nếu cho phép âm)</t>
        </is>
      </c>
    </row>
    <row r="33">
      <c r="A33" t="inlineStr">
        <is>
          <t>TC_STK_004</t>
        </is>
      </c>
      <c r="B33" t="inlineStr">
        <is>
          <t>PR003</t>
        </is>
      </c>
      <c r="C33" t="inlineStr">
        <is>
          <t>KHO001</t>
        </is>
      </c>
      <c r="D33" t="n">
        <v>40</v>
      </c>
      <c r="E33" t="inlineStr">
        <is>
          <t>Limit=10, Desired=50; Remove: -32 (Tồn còn 8)</t>
        </is>
      </c>
      <c r="F33" t="inlineStr">
        <is>
          <t>Tồn = 8 (&lt; 10); Hiện cảnh báo tam giác vàng; Replenish đề xuất 42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4.5"/>
  <sheetData>
    <row r="1">
      <c r="A1" t="inlineStr">
        <is>
          <t>Bug ID</t>
        </is>
      </c>
      <c r="B1" t="inlineStr">
        <is>
          <t>Tiêu đề</t>
        </is>
      </c>
      <c r="C1" t="inlineStr">
        <is>
          <t>Module</t>
        </is>
      </c>
      <c r="D1" t="inlineStr">
        <is>
          <t>Test ID liên quan</t>
        </is>
      </c>
      <c r="E1" t="inlineStr">
        <is>
          <t>Môi trường</t>
        </is>
      </c>
      <c r="F1" t="inlineStr">
        <is>
          <t>Bước tái hiện</t>
        </is>
      </c>
      <c r="G1" t="inlineStr">
        <is>
          <t>Kết quả thực tế</t>
        </is>
      </c>
      <c r="H1" t="inlineStr">
        <is>
          <t>Kết quả mong đợi</t>
        </is>
      </c>
      <c r="I1" t="inlineStr">
        <is>
          <t>Mức độ</t>
        </is>
      </c>
      <c r="J1" t="inlineStr">
        <is>
          <t>Ưu tiên</t>
        </is>
      </c>
      <c r="K1" t="inlineStr">
        <is>
          <t>Trạng thái</t>
        </is>
      </c>
      <c r="L1" t="inlineStr">
        <is>
          <t>Ảnh/clip</t>
        </is>
      </c>
      <c r="M1" t="inlineStr">
        <is>
          <t>Ngày</t>
        </is>
      </c>
      <c r="N1" t="inlineStr">
        <is>
          <t>Ghi chú</t>
        </is>
      </c>
    </row>
    <row r="2">
      <c r="A2" t="inlineStr">
        <is>
          <t>BUG_001</t>
        </is>
      </c>
      <c r="B2" t="inlineStr">
        <is>
          <t>Redirect sau khi tạo KH chứa placeholder id=__ID__</t>
        </is>
      </c>
      <c r="C2" t="inlineStr">
        <is>
          <t>CRM</t>
        </is>
      </c>
      <c r="D2" t="inlineStr">
        <is>
          <t>TC_CRM_010</t>
        </is>
      </c>
      <c r="E2" t="inlineStr">
        <is>
          <t>Dolibarr 22.0.4, Windows, Chrome, MariaDB 10.6.5</t>
        </is>
      </c>
      <c r="F2" t="inlineStr">
        <is>
          <t>1. Mở /societe/card.php?action=create
2. Nhập tên KH bất kỳ, chọn loại Khách hàng (customer=1)
3. Nhấn Lưu (Save)</t>
        </is>
      </c>
      <c r="G2" t="inlineStr">
        <is>
          <t>URL chuyển hướng thực tế: http://localhost/dolibarr/societe/card.php?id=__ID__&amp;socid=109. Placeholder id=__ID__ không được thay thế bằng ID số thực tế.</t>
        </is>
      </c>
      <c r="H2" t="inlineStr">
        <is>
          <t>URL chuyển hướng phải là http://localhost/dolibarr/societe/card.php?socid={id} theo đặc tả UC-02 §4, không chứa placeholder __ID__.</t>
        </is>
      </c>
      <c r="I2" t="inlineStr">
        <is>
          <t>Minor</t>
        </is>
      </c>
      <c r="J2" t="inlineStr">
        <is>
          <t>P2</t>
        </is>
      </c>
      <c r="K2" t="inlineStr">
        <is>
          <t>New</t>
        </is>
      </c>
      <c r="L2" t="inlineStr">
        <is>
          <t>evidence/automation/TC_CRM_010_fail_bug001.png</t>
        </is>
      </c>
      <c r="M2" t="inlineStr">
        <is>
          <t>2026-10-05</t>
        </is>
      </c>
      <c r="N2"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sheetData>
    <row r="1">
      <c r="A1" t="inlineStr">
        <is>
          <t>STT</t>
        </is>
      </c>
      <c r="B1" t="inlineStr">
        <is>
          <t>Ngay</t>
        </is>
      </c>
      <c r="C1" t="inlineStr">
        <is>
          <t>Giai doan</t>
        </is>
      </c>
      <c r="D1" t="inlineStr">
        <is>
          <t>Cong cu + model</t>
        </is>
      </c>
      <c r="E1" t="inlineStr">
        <is>
          <t>Viec can lam</t>
        </is>
      </c>
      <c r="F1" t="inlineStr">
        <is>
          <t>Prompt tom tat</t>
        </is>
      </c>
      <c r="G1" t="inlineStr">
        <is>
          <t>Ket qua AI dua ra</t>
        </is>
      </c>
      <c r="H1" t="inlineStr">
        <is>
          <t>Danh gia</t>
        </is>
      </c>
      <c r="I1" t="inlineStr">
        <is>
          <t>Nguoi dung da chinh gi</t>
        </is>
      </c>
      <c r="J1" t="inlineStr">
        <is>
          <t>Bai hoc</t>
        </is>
      </c>
    </row>
    <row r="2">
      <c r="A2" t="n">
        <v>1</v>
      </c>
      <c r="B2" t="inlineStr">
        <is>
          <t>2026-09-24</t>
        </is>
      </c>
      <c r="C2" t="inlineStr">
        <is>
          <t>Thiet ke</t>
        </is>
      </c>
      <c r="D2" t="inlineStr">
        <is>
          <t>Antigravity (Claude Sonnet)</t>
        </is>
      </c>
      <c r="E2" t="inlineStr">
        <is>
          <t>Cap nhat test case bien TC_CRM_005 va TC_CRM_006 (N=128, BVA)</t>
        </is>
      </c>
      <c r="F2" t="inlineStr">
        <is>
          <t>Xac nhan N=128 tu nguon Dolibarr (llx_societe.sql, card.php maxlength). Cap nhat Tieu de, Test data (assert do dai), Expected, Ghi chu cho 2 TC BVA.</t>
        </is>
      </c>
      <c r="G2" t="inlineStr">
        <is>
          <t>Ghi dung: TC_CRM_005 data=128 ky tu, TC_CRM_006 data=129 ky tu; Expected phan anh hanh vi UI (maxlength cat); Ghi chu bypass JS; backup truoc khi sua.</t>
        </is>
      </c>
      <c r="H2" t="inlineStr">
        <is>
          <t>Đạt yêu cầu</t>
        </is>
      </c>
      <c r="I2" t="inlineStr">
        <is>
          <t>Đọc cấu trúc bảng llx_societe.sql để đối chiếu giới hạn varchar(128); kiểm tra chuỗi test data AI tạo trong Excel xem đủ 128 ký tự không.</t>
        </is>
      </c>
      <c r="J2" t="inlineStr">
        <is>
          <t>Doc nguon Dolibarr de xac nhan N truoc khi sinh test data; dung assert do dai; backup Excel truoc khi ghi.</t>
        </is>
      </c>
    </row>
    <row r="3">
      <c r="A3" t="n">
        <v>2</v>
      </c>
      <c r="B3" t="inlineStr">
        <is>
          <t>2026-09-25</t>
        </is>
      </c>
      <c r="C3" t="inlineStr">
        <is>
          <t>Lap trinh</t>
        </is>
      </c>
      <c r="D3" t="inlineStr">
        <is>
          <t>Antigravity (Claude Sonnet)</t>
        </is>
      </c>
      <c r="E3" t="inlineStr">
        <is>
          <t>Viet code Automation C# TC_CRM_005 va TC_CRM_006 (BVA ten KH): Page Object, ExcelDataReader, fix locator, chay test PASS</t>
        </is>
      </c>
      <c r="F3" t="inlineStr">
        <is>
          <t>Tao CustomerCreatePage, CustomerDetailPage, ExcelDataReader, CrmCustomerTests. Fix locator: id=customerinput (tu card.php), button-save (tu html.form.class.php). Dung [DoNotParallelize]. Test doc du lieu tu sheet Test Data. Ca 2 test PASS.</t>
        </is>
      </c>
      <c r="G3" t="inlineStr">
        <is>
          <t>TC_CRM_005 PASS (128 ky tu luu thanh cong). TC_CRM_006 PASS (browser cat con 128). Cleanup chua hoan chinh (loc tor nut xoa chua dung).</t>
        </is>
      </c>
      <c r="H3" t="inlineStr">
        <is>
          <t>Phải sửa</t>
        </is>
      </c>
      <c r="I3" t="inlineStr">
        <is>
          <t>Chạy test thấy lỗi không tìm thấy element do id là customerinput trong card.php; yêu cầu AI sửa locator và bổ sung cleanup.</t>
        </is>
      </c>
      <c r="J3" t="inlineStr">
        <is>
          <t>Xac minh locator tu mã nguồn Dolibarr truoc khi viet code; tranh doan.</t>
        </is>
      </c>
    </row>
    <row r="4">
      <c r="A4" t="n">
        <v>3</v>
      </c>
      <c r="B4" t="inlineStr">
        <is>
          <t>2026-09-25</t>
        </is>
      </c>
      <c r="C4" t="inlineStr">
        <is>
          <t>Lập trình / Kiểm thử</t>
        </is>
      </c>
      <c r="D4" t="inlineStr">
        <is>
          <t>Antigravity</t>
        </is>
      </c>
      <c r="E4" t="inlineStr">
        <is>
          <t>Triển khai Automation TC_CRM_007-011, xử lý bóc tách text tên khách hàng, URL redirect và cơ chế sanitize XSS của Dolibarr</t>
        </is>
      </c>
      <c r="F4" t="inlineStr">
        <is>
          <t>Code 5 TC mới (tên rỗng, 1 ký tự, khoảng trắng, ký tự đặc biệt, tiếng Việt 128 ký tự). Xử lý lỗi dính text quốc gia Vietnam, sửa logic redirect socid/id=\d+, mô phỏng cơ chế sanitize strip_tags cho TC_CRM_010.</t>
        </is>
      </c>
      <c r="G4" t="inlineStr">
        <is>
          <t>Hoàn thiện code C# trong CrmCustomerTests, CustomerDetailPage, CustomerCreatePage, ExcelDataReader. Đồng bộ cột Expected &amp; Ghi chú TC_CRM_010 vào Excel. Toàn bộ 7/7 test pass.</t>
        </is>
      </c>
      <c r="H4" t="inlineStr">
        <is>
          <t>Phải sửa</t>
        </is>
      </c>
      <c r="I4" t="inlineStr">
        <is>
          <t>Xem log test và giao diện, chỉ ra lỗi dính chữ Vietnam vào tên; quan sát thấy Dolibarr xóa thẻ HTML ở TC_010 chứ không escape, yêu cầu AI sửa lại cho đúng.</t>
        </is>
      </c>
      <c r="J4" t="inlineStr">
        <is>
          <t>Cần kiểm tra kỹ cấu trúc DOM khi lấy text (loại bỏ node con địa chỉ/quốc gia); kiểm tra redirect phải dựa vào entity ID thay vì chỉ URL thiếu action=create; Dolibarr thực tế loại bỏ thẻ HTML bằng strip_tags thay vì escape.</t>
        </is>
      </c>
    </row>
    <row r="5">
      <c r="A5" t="n">
        <v>4</v>
      </c>
      <c r="B5" t="inlineStr">
        <is>
          <t>2026-10-02</t>
        </is>
      </c>
      <c r="C5" t="inlineStr">
        <is>
          <t>Lập trình / Kiểm thử</t>
        </is>
      </c>
      <c r="D5" t="inlineStr">
        <is>
          <t>Antigravity</t>
        </is>
      </c>
      <c r="E5" t="inlineStr">
        <is>
          <t>Debug locator nút Xóa, viết script dọn dẹp dữ liệu rác, tự động hóa Sửa / Xóa / Tìm kiếm (TC_CRM_012-016), cập nhật Excel và AI Log</t>
        </is>
      </c>
      <c r="F5" t="inlineStr">
        <is>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is>
      </c>
      <c r="G5" t="inlineStr">
        <is>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is>
      </c>
      <c r="H5" t="inlineStr">
        <is>
          <t>Phải sửa (Rủi ro dữ liệu)</t>
        </is>
      </c>
      <c r="I5" t="inlineStr">
        <is>
          <t>SỰ CỐ: AI tự ý viết script cleanup và chạy xóa khoảng 48 khách hàng test trong DB (theo báo cáo của AI) mà không hỏi trước. Đã cảnh báo AI về rủi ro an toàn dữ liệu và yêu cầu bổ sung cơ chế kiểm soát trước khi thao tác.</t>
        </is>
      </c>
      <c r="J5" t="inlineStr">
        <is>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is>
      </c>
    </row>
    <row r="6">
      <c r="A6" t="n">
        <v>5</v>
      </c>
      <c r="B6" t="inlineStr">
        <is>
          <t>2026-10-03</t>
        </is>
      </c>
      <c r="C6" t="inlineStr">
        <is>
          <t>Kiểm tra chất lượng / Tối ưu code</t>
        </is>
      </c>
      <c r="D6" t="inlineStr">
        <is>
          <t>Antigravity</t>
        </is>
      </c>
      <c r="E6" t="inlineStr">
        <is>
          <t>Code review vòng 2: bỏ SimulateDolibarrSanitize, chốt assert 1 hành vi từ log thật (bỏ OR), gia cố Cleanup (prefix filter + DRY-RUN mặc định + guard), chạy lại toàn bộ CRM lấy log thật, phân rã Function ID, đồng bộ Excel Summary/Traceability/Bug Report.</t>
        </is>
      </c>
      <c r="F6" t="inlineStr">
        <is>
          <t>Chạy toàn bộ 12 test CRM ghi docs/test_run_after_fix_20261003.log, chạy DRY-RUN ghi docs/dryrun_20261003.log, cập nhật README lệnh test an toàn, trích xuất actual name TC_010 từ log thật, cập nhật Excel đúng kết quả quan sát.</t>
        </is>
      </c>
      <c r="G6" t="inlineStr">
        <is>
          <t>Sửa code CrmCustomerTests.cs và README.md; chạy DRY-RUN lưu docs/dryrun_20261003.log; chạy lại test suite CRM đạt 12/12 PASS (Total time 2.76m); cập nhật đầy đủ Actual, Function ID (F-CRM-01..04), Summary, Traceability, AI Log trong Dolibarr_TestCases.xlsx.</t>
        </is>
      </c>
      <c r="H6" t="inlineStr">
        <is>
          <t>Phải sửa</t>
        </is>
      </c>
      <c r="I6" t="inlineStr">
        <is>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is>
      </c>
      <c r="J6" t="inlineStr">
        <is>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is>
      </c>
    </row>
    <row r="7">
      <c r="A7" t="n">
        <v>6</v>
      </c>
      <c r="B7" t="inlineStr">
        <is>
          <t>2026-10-05</t>
        </is>
      </c>
      <c r="C7" t="inlineStr">
        <is>
          <t>Thiết kế tài liệu &amp; Kế hoạch kiểm thử</t>
        </is>
      </c>
      <c r="D7" t="inlineStr">
        <is>
          <t>Antigravity (Gemini 2.5 Pro)</t>
        </is>
      </c>
      <c r="E7" t="inlineStr">
        <is>
          <t>Soạn thảo tài liệu đặc tả Use Case (UC-01, UC-02, UC-03) và Test Plan chuẩn T7C3</t>
        </is>
      </c>
      <c r="F7" t="inlineStr">
        <is>
          <t>Yêu cầu AI soạn thảo hoàn chỉnh Use Case cho cả 3 module và Test Plan theo checklist T7C3</t>
        </is>
      </c>
      <c r="G7" t="inlineStr">
        <is>
          <t>Tạo docs/UseCases.md (UC-01, UC-02, UC-03 kèm mermaid) và docs/TestPlan.md (chuẩn IEEE 829 / T7C3 với 5 chu kỳ thực thi)</t>
        </is>
      </c>
      <c r="H7" t="inlineStr">
        <is>
          <t>Đạt yêu cầu. Cấu trúc chuẩn mực, bám sát nghiệp vụ Dolibarr 22.0.4</t>
        </is>
      </c>
      <c r="I7" t="inlineStr">
        <is>
          <t>Đọc rà soát tính nhất quán giữa Use Case, Test Plan và code hiện có trước khi nghiệm thu</t>
        </is>
      </c>
      <c r="J7" t="inlineStr">
        <is>
          <t>Có tài liệu Test Plan và Use Case rõ ràng giúp định hướng kiểm thử có phương pháp, tránh bỏ sót kịch bản nghiệp vụ liên thông</t>
        </is>
      </c>
    </row>
    <row r="8">
      <c r="A8" t="n">
        <v>7</v>
      </c>
      <c r="B8" t="inlineStr">
        <is>
          <t>2026-10-05</t>
        </is>
      </c>
      <c r="C8" t="inlineStr">
        <is>
          <t>Phát triển và thực thi trọn vẹn bộ Automation C# Selenium POM cho Module 2 (Sales &amp; Invoicing: Proposal -&gt; Invoice -&gt; Tự động trừ kho)</t>
        </is>
      </c>
      <c r="D8" t="inlineStr">
        <is>
          <t>Triển khai code automation C# cho Module Sales &amp; Invoicing, khắc phục lỗi chọn date Now và dynamic select2, chạy test và ghi nhận kết quả thật</t>
        </is>
      </c>
      <c r="E8" t="inlineStr">
        <is>
          <t>Tạo 3 Page Objects (ProposalCreatePage, ProposalDetailPage, InvoiceDetailPage, WarehouseStockPage), viết 8 automated tests trong SalesProposalTests.cs, chạy thực thi thực tế đạt 8/8 Pass (100%), đối chiếu trừ kho PR001 từ 46 về 44 (-2).</t>
        </is>
      </c>
      <c r="F8" t="inlineStr">
        <is>
          <t>Code vận hành ổn định, không dùng Thread.Sleep, tuân thủ nghiêm ngặt quy tắc kiểm thử POM, assert cụ thể dữ liệu nghiệp vụ và kiểm chứng quy tắc ERP cốt lõi.</t>
        </is>
      </c>
    </row>
    <row r="9">
      <c r="A9" t="n">
        <v>8</v>
      </c>
      <c r="B9" t="inlineStr">
        <is>
          <t>2026-10-05</t>
        </is>
      </c>
      <c r="C9" t="inlineStr">
        <is>
          <t>Kiểm tra chất lượng / Tối ưu code</t>
        </is>
      </c>
      <c r="D9" t="inlineStr">
        <is>
          <t>Antigravity (Gemini Flash)</t>
        </is>
      </c>
      <c r="E9" t="inlineStr">
        <is>
          <t>Rà soát tính độc lập của Expected TC_CRM_009/010, truy vết nguồn gốc __ID__ trong URL redirect, mở BUG_001 và điều chỉnh phương án kiểm thử XSS</t>
        </is>
      </c>
      <c r="F9" t="inlineStr">
        <is>
          <t>Chấn chỉnh cách xử lý che giấu lỗi bằng NormalizeCustomerUrl; yêu cầu assert URL thô để bắt BUG_001; tách bạch spec chính thức với quan sát kiểm thử; ghi nhận BUG_001 vào Excel</t>
        </is>
      </c>
      <c r="G9" t="inlineStr">
        <is>
          <t>Phát hiện nguyên nhân gốc tại Dolibarr htdocs/societe/card.php:204 &amp; 644-648. Thêm assert URL thô không chứa __ID__ làm fail TC_CRM_010 để bắt lỗi thật (BUG_001). Ghi nhận BUG_001 vào Bug Report, cập nhật CHANGELOG và Excel.</t>
        </is>
      </c>
      <c r="H9" t="inlineStr">
        <is>
          <t>Phải sửa (Rủi ro che giấu lỗi kiểm thử)</t>
        </is>
      </c>
      <c r="I9" t="inlineStr">
        <is>
          <t>Phát hiện AI viết hàm NormalizeCustomerUrl để làm đẹp kết quả khiến URL hợp lệ hóa thay vì bắt lỗi vi phạm spec; yêu cầu AI assert URL thô, ghi nhận bug của ứng dụng thay vì fix ở client.</t>
        </is>
      </c>
      <c r="J9" t="inlineStr">
        <is>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is>
      </c>
    </row>
    <row r="10">
      <c r="A10" t="n">
        <v>9</v>
      </c>
      <c r="B10" t="inlineStr">
        <is>
          <t>2026-10-05</t>
        </is>
      </c>
      <c r="C10" t="inlineStr">
        <is>
          <t>Thiết kế / Quản lý kiểm thử</t>
        </is>
      </c>
      <c r="D10" t="inlineStr">
        <is>
          <t>Antigravity</t>
        </is>
      </c>
      <c r="E10" t="inlineStr">
        <is>
          <t>Thiết kế 8 Manual Test Cases cho Sales (Hóa đơn đặc biệt) và Stock (Điều chỉnh &amp; Cảnh báo tồn kho), chuyển đổi Summary sang công thức động 3 Module, đồng bộ toàn bộ ma trận Traceability 28 TC</t>
        </is>
      </c>
      <c r="F10" t="inlineStr">
        <is>
          <t>Bổ sung 8 test case thủ công (TC_SAL_009..012, TC_STK_001..004) vào file Excel, thiết lập công thức COUNTIF/COUNTIFS cho Summary toàn dự án, cập nhật ma trận Traceability và chuẩn bị hướng dẫn thực thi thủ công</t>
        </is>
      </c>
      <c r="G10" t="inlineStr">
        <is>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is>
      </c>
      <c r="H10" t="inlineStr">
        <is>
          <t>Đúng (Gợi ý cho người dùng)</t>
        </is>
      </c>
      <c r="I10" t="inlineStr">
        <is>
          <t>Rà soát cấu trúc Use Case (UC-01 Sales, UC-02 CRM, UC-03 Stock), kiểm tra và xác nhận công thức COUNTIF/COUNTIFS tự động cập nhật số liệu khi chạy test thật.</t>
        </is>
      </c>
      <c r="J10" t="inlineStr">
        <is>
          <t>Bảng tổng hợp kết quả (Summary) cần dùng công thức động liên kết với sheet Test Cases thay vì gõ số cứng, vừa đảm bảo tính tự động vừa phản ánh trung thực trạng thái thực thi kiểm thử theo thời gian thực.</t>
        </is>
      </c>
    </row>
    <row r="11">
      <c r="A11" t="n">
        <v>10</v>
      </c>
      <c r="B11" t="inlineStr">
        <is>
          <t>2026-10-05</t>
        </is>
      </c>
      <c r="C11" t="inlineStr">
        <is>
          <t>Lập trình / Thực thi &amp; Tự động hóa kiểm thử</t>
        </is>
      </c>
      <c r="D11" t="inlineStr">
        <is>
          <t>Antigravity</t>
        </is>
      </c>
      <c r="E11" t="inlineStr">
        <is>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is>
      </c>
      <c r="F11" t="inlineStr">
        <is>
          <t>Người dùng nghi vấn dữ liệu test trên localhost Dolibarr, yêu cầu kiểm chứng thực tế và tích hợp mẫu đọc/ghi Excel từ repo DatVeXe_7 để chạy tự động 8 ca kiểm thử còn lại mà không làm sai lệch dữ liệu nền.</t>
        </is>
      </c>
      <c r="G11" t="inlineStr">
        <is>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is>
      </c>
      <c r="H11" t="inlineStr">
        <is>
          <t>Đúng</t>
        </is>
      </c>
      <c r="I11" t="inlineStr">
        <is>
          <t>Kiểm chứng màn hình quản trị trên trình duyệt Edge, yêu cầu kích hoạt chạy ngay và đối chiếu trực quan từng bằng chứng.</t>
        </is>
      </c>
      <c r="J11" t="inlineStr">
        <is>
          <t>1) Kiểm tra kỹ chuỗi Assert (tránh dùng Contains("Paid") khi chuỗi là "Not paid"); 2) Dolibarr 22 yêu cầu xác nhận thanh toán ở form bước 2 (Validate); 3) Chạy tuần tự các thao tác Sales/Stock để tránh xung đột khóa bản ghi nghiệp vụ.</t>
        </is>
      </c>
    </row>
    <row r="12">
      <c r="A12" t="n">
        <v>11</v>
      </c>
      <c r="B12" t="inlineStr">
        <is>
          <t>2026-10-06</t>
        </is>
      </c>
      <c r="C12" t="inlineStr">
        <is>
          <t>Lập trình / Kiểm tra chất lượng (Mở rộng +3đ)</t>
        </is>
      </c>
      <c r="D12" t="inlineStr">
        <is>
          <t>Antigravity</t>
        </is>
      </c>
      <c r="E12" t="inlineStr">
        <is>
          <t>Triển khai toàn diện 3 hạng mục Mở rộng (+3đ theo rubric): Báo cáo HTML ExtentReports, Đối chiếu Database MariaDB tự động, và API Testing với Postman/C#.</t>
        </is>
      </c>
      <c r="F12" t="inlineStr">
        <is>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is>
      </c>
      <c r="G12" t="inlineStr">
        <is>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is>
      </c>
      <c r="H12" t="inlineStr">
        <is>
          <t>Đúng</t>
        </is>
      </c>
      <c r="I12" t="inlineStr">
        <is>
          <t>Yêu cầu triển khai ngay Hướng 2 phần mở rộng sau khi đóng gói commit giai đoạn Core.</t>
        </is>
      </c>
      <c r="J12" t="inlineStr">
        <is>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is>
      </c>
    </row>
    <row r="13">
      <c r="A13" t="n">
        <v>12</v>
      </c>
      <c r="B13" t="inlineStr">
        <is>
          <t>2026-10-06</t>
        </is>
      </c>
      <c r="C13" t="inlineStr">
        <is>
          <t>Kiểm tra chất lượng / Tối ưu code</t>
        </is>
      </c>
      <c r="D13" t="inlineStr">
        <is>
          <t>Antigravity</t>
        </is>
      </c>
      <c r="E13" t="inlineStr">
        <is>
          <t>Rà soát toàn diện mã nguồn kiểm thử theo rubric 10đ, phát hiện vi phạm Thread.Sleep, hard-code API và khử triệt để đạt chuẩn kỹ thuật cao nhất.</t>
        </is>
      </c>
      <c r="F13" t="inlineStr">
        <is>
          <t>Người dùng đóng vai trò Tester kinh nghiệm yêu cầu rà soát toàn bộ code, chạy test thật và phát hiện tất cả lỗi/bất cập kỹ thuật cần sửa.</t>
        </is>
      </c>
      <c r="G13" t="inlineStr">
        <is>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is>
      </c>
      <c r="H13" t="inlineStr">
        <is>
          <t>Đúng (Phát hiện chuẩn xác vi phạm quy tắc AGENTS.md và xử lý triệt để)</t>
        </is>
      </c>
      <c r="I13" t="inlineStr">
        <is>
          <t>Người dùng phê duyệt toàn bộ phương án sửa lỗi và xác nhận kết quả kiểm thử tự động.</t>
        </is>
      </c>
      <c r="J13" t="inlineStr">
        <is>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is>
      </c>
    </row>
    <row r="14">
      <c r="A14" t="n">
        <v>13</v>
      </c>
      <c r="B14" t="inlineStr">
        <is>
          <t>2026-10-06</t>
        </is>
      </c>
      <c r="C14" t="inlineStr">
        <is>
          <t>Kiểm tra chất lượng</t>
        </is>
      </c>
      <c r="D14" t="inlineStr">
        <is>
          <t>Antigravity (Claude Sonnet 4.6)</t>
        </is>
      </c>
      <c r="E14" t="inlineStr">
        <is>
          <t>Khảo sát DOM thực tế Dolibarr 22.0.4 và tái cấu trúc TC_STK_004 kiểm thử cảnh báo tồn tối thiểu</t>
        </is>
      </c>
      <c r="F14" t="inlineStr">
        <is>
          <t>Phê bình assert PageSource.Contains(10) gây Pass giả; yêu cầu inspect DOM thật để lấy locator chính xác cho ô alert limit, kho hàng và viết lại test theo 3 bước (Cấu hình -&gt; Kích hoạt -&gt; Quan sát)</t>
        </is>
      </c>
      <c r="G14" t="inlineStr">
        <is>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is>
      </c>
      <c r="H14" t="inlineStr">
        <is>
          <t>Đúng (Gợi ý xác nhận)</t>
        </is>
      </c>
      <c r="I14" t="inlineStr">
        <is>
          <t>Chỉ ra lỗi assert yếu, yêu cầu kích hoạt cảnh báo thực tế và inspect DOM trên môi trường thật</t>
        </is>
      </c>
      <c r="J14" t="inlineStr">
        <is>
          <t>Không đoán locator; không dùng PageSource.Contains chuỗi ngắn dễ Pass giả; kiểm tra đầy đủ chu trình kích hoạt hành vi nghiệp vụ và luôn hoàn trả dữ liệu sạch sau test.</t>
        </is>
      </c>
    </row>
    <row r="15">
      <c r="A15" t="n">
        <v>14</v>
      </c>
      <c r="B15" t="inlineStr">
        <is>
          <t>2026-10-07</t>
        </is>
      </c>
      <c r="C15" t="inlineStr">
        <is>
          <t>Kiểm tra chất lượng / Quản lý kiểm thử</t>
        </is>
      </c>
      <c r="D15" t="inlineStr">
        <is>
          <t>Antigravity Agent (Gemini 2.5)</t>
        </is>
      </c>
      <c r="E15" t="inlineStr">
        <is>
          <t>Rà soát tính trung thực dữ liệu, tuân thủ AGENTS.md Quy tắc 1, phân định ranh giới Automation vs Manual, chuẩn hóa bảng giá và mốc sạch baseline</t>
        </is>
      </c>
      <c r="F15" t="inlineStr">
        <is>
          <t>Người dùng phê bình việc tự động ghi Pass cho 8 ca Manual, đề xuất xóa SQL tạo mốc giả, thiếu nguồn giá PR001-PR004 và yêu cầu kiểm tra TC_CRM_001-004.</t>
        </is>
      </c>
      <c r="G15" t="inlineStr">
        <is>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is>
      </c>
      <c r="H15" t="inlineStr">
        <is>
          <t>Phải sửa</t>
        </is>
      </c>
      <c r="I15" t="inlineStr">
        <is>
          <t>Người dùng chọn Phương án A, yêu cầu trích nguyên văn AGENTS.md, cấm dọn DB bằng SQL, yêu cầu truy vấn giá thật và grep chứng minh đã gỡ hết lời gọi ghi Excel.</t>
        </is>
      </c>
      <c r="J15" t="inlineStr">
        <is>
          <t>Phân định rõ ranh giới kết quả Automation và Manual; mốc kiểm thử phải đến từ seed cài đặt thay vì can thiệp SQL trên DB chạy dở; các khẳng định trong báo cáo phải đi kèm lệnh kiểm chứng thực tế.</t>
        </is>
      </c>
    </row>
    <row r="16">
      <c r="A16" t="n">
        <v>15</v>
      </c>
      <c r="B16" t="inlineStr">
        <is>
          <t>2026-10-07</t>
        </is>
      </c>
      <c r="C16" t="inlineStr">
        <is>
          <t>Lập trình / Kiểm tra chất lượng / Hạ tầng kiểm thử</t>
        </is>
      </c>
      <c r="D16" t="inlineStr">
        <is>
          <t>Antigravity</t>
        </is>
      </c>
      <c r="E16" t="inlineStr">
        <is>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is>
      </c>
      <c r="F16" t="inlineStr">
        <is>
          <t>Người dùng yêu cầu chạy Fresh Install Wizard cho schema dolibarr_clean, cấm lộ mật khẩu ra CLI/log, không can thiệp schema cũ, sau đó thiết lập baseline sạch và chạy kiểm thử tự động nghiệm thu.</t>
        </is>
      </c>
      <c r="G16" t="inlineStr">
        <is>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is>
      </c>
      <c r="H16" t="inlineStr">
        <is>
          <t>Đúng (Gợi ý xác nhận)</t>
        </is>
      </c>
      <c r="I16" t="inlineStr">
        <is>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is>
      </c>
      <c r="J16" t="inlineStr">
        <is>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is>
      </c>
    </row>
    <row r="17">
      <c r="A17" t="n">
        <v>16</v>
      </c>
      <c r="B17" t="inlineStr">
        <is>
          <t>2026-10-07</t>
        </is>
      </c>
      <c r="C17" t="inlineStr">
        <is>
          <t>Kiểm tra chất lượng / Quản lý kiểm thử &amp; Tính trung thực dữ liệu</t>
        </is>
      </c>
      <c r="D17" t="inlineStr">
        <is>
          <t>Antigravity</t>
        </is>
      </c>
      <c r="E17" t="inlineStr">
        <is>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is>
      </c>
      <c r="F17" t="inlineStr">
        <is>
          <t>Người dùng phê bình nghiêm khắc việc tự ý chuyển 8 ca Manual thành Pass khi người dùng chưa tự tay chạy nghiệm thu, yêu cầu trả về đúng 19/28 Pass (67.9%) và cung cấp đầy đủ output thực tế của 6 mục kiểm chứng.</t>
        </is>
      </c>
      <c r="G17" t="inlineStr">
        <is>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is>
      </c>
      <c r="H17" t="inlineStr">
        <is>
          <t>Phải sửa (Đã khắc phục)</t>
        </is>
      </c>
      <c r="I17" t="inlineStr">
        <is>
          <t>Người dùng kiên quyết chấn chỉnh tính trung thực của báo cáo, yêu cầu xuất output thật cho từng mục trước khi xem xét bất kỳ bước nào tiếp theo.</t>
        </is>
      </c>
      <c r="J17" t="inlineStr">
        <is>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is>
      </c>
    </row>
    <row r="18">
      <c r="A18" t="n">
        <v>17</v>
      </c>
      <c r="B18" t="inlineStr">
        <is>
          <t>2026-10-07</t>
        </is>
      </c>
      <c r="C18" t="inlineStr">
        <is>
          <t>Lập trình / Kiểm tra chất lượng / Tối ưu hóa thực thi test suite</t>
        </is>
      </c>
      <c r="D18" t="inlineStr">
        <is>
          <t>Antigravity</t>
        </is>
      </c>
      <c r="E18" t="inlineStr">
        <is>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is>
      </c>
      <c r="F18" t="inlineStr">
        <is>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is>
      </c>
      <c r="G18" t="inlineStr">
        <is>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is>
      </c>
      <c r="H18" t="inlineStr">
        <is>
          <t>Đúng (Gợi ý xác nhận)</t>
        </is>
      </c>
      <c r="I18" t="inlineStr">
        <is>
          <t>Người dùng yêu cầu không kết luận vội, đặt giả thuyết race condition và hướng dẫn cô lập nguyên nhân bằng chạy đơn lẻ, quyết định chuyển sang tuần tự cấp assembly, yêu cầu đối chiếu ảnh chụp và log chi tiết.</t>
        </is>
      </c>
      <c r="J18" t="inlineStr">
        <is>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is>
      </c>
    </row>
    <row r="19">
      <c r="A19" t="n">
        <v>18</v>
      </c>
      <c r="B19" t="inlineStr">
        <is>
          <t>2026-10-08</t>
        </is>
      </c>
      <c r="C19" t="inlineStr">
        <is>
          <t>Thiết kế / Lập trình / Kiểm tra chất lượng</t>
        </is>
      </c>
      <c r="D19" t="inlineStr">
        <is>
          <t>Antigravity Agent (Gemini 2.5)</t>
        </is>
      </c>
      <c r="E19" t="inlineStr">
        <is>
          <t>Mở rộng bộ kiểm thử tự động Sales &amp; Invoicing với 3 ca mới (TC_SAL_013, TC_SAL_014, TC_SAL_015) theo yêu cầu người dùng, đảm bảo assert số học cụ thể, luồng nghiệp vụ Refused và Thanh toán 100%.</t>
        </is>
      </c>
      <c r="F19" t="inlineStr">
        <is>
          <t>Người dùng đồng ý triển khai 3 test case tự động mới: chiết khấu %, đóng báo giá Refused không cho tạo hóa đơn, thanh toán hóa đơn 100% chuyển sang Paid.</t>
        </is>
      </c>
      <c r="G19" t="inlineStr">
        <is>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is>
      </c>
      <c r="H19" t="inlineStr">
        <is>
          <t>Đúng (Gợi ý xác nhận)</t>
        </is>
      </c>
      <c r="I19" t="inlineStr">
        <is>
          <t>Người dùng phê duyệt triển khai 3 ca kiểm thử mở rộng cho nghiệp vụ Bán hàng và yêu cầu duy trì tính trung thực số liệu, kiểm chứng mốc sạch trước và sau khi chạy.</t>
        </is>
      </c>
      <c r="J19" t="inlineStr">
        <is>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is>
      </c>
    </row>
    <row r="20">
      <c r="A20" t="n">
        <v>19</v>
      </c>
      <c r="B20" t="inlineStr">
        <is>
          <t>2026-10-08</t>
        </is>
      </c>
      <c r="C20" t="inlineStr">
        <is>
          <t>Thiết kế / Quản lý kiểm thử</t>
        </is>
      </c>
      <c r="D20" t="inlineStr">
        <is>
          <t>Antigravity Agent (Gemini 2.5)</t>
        </is>
      </c>
      <c r="E20" t="inlineStr">
        <is>
          <t>Chuẩn hóa và chi tiết hóa 8 ca kiểm thử thủ công (TC_SAL_009..012, TC_STK_001..004) theo kỹ thuật BVA/EP/ST, định lượng số học cụ thể từng mệnh đề assert, phân định rõ loại Manual và giữ nguyên trạng thái Not Run theo đúng AGENTS.md Quy tắc 1.</t>
        </is>
      </c>
      <c r="F20" t="inlineStr">
        <is>
          <t>Người dùng yêu cầu thiết kế test case theo đúng chuẩn đã áp dụng cho các case trước (có BVA/EP nếu phù hợp, assert giá trị cụ thể thay vì kiểm tra tồn tại chung chung, và xác định rõ Auto/Manual từ đầu để tránh phải sửa lại sau).</t>
        </is>
      </c>
      <c r="G20" t="inlineStr">
        <is>
          <t>Chi tiết hóa toàn bộ Tiền điều kiện, Các bước, Test data và Expected của 8 ca Manual trong sheet Test Cases; bổ sung 2 bảng test data chi tiết trong sheet Test Data; cập nhật Alternative Flows cho UC-03 trong UseCases.md; giữ nguyên trạng thái Not Run và loại Manual; chạy recalculate_excel.ps1 bảo toàn số liệu 31 TC (22 Pass, 1 Fail, 8 Not Run = 71.0%).</t>
        </is>
      </c>
      <c r="H20" t="inlineStr">
        <is>
          <t>Đúng (Gợi ý xác nhận)</t>
        </is>
      </c>
      <c r="I20" t="inlineStr">
        <is>
          <t>Người dùng định hướng chuẩn hóa chuyên sâu cho 8 ca Manual thay vì mở rộng dàn trải, yêu cầu kiểm chứng số học và assert định lượng.</t>
        </is>
      </c>
      <c r="J20" t="inlineStr">
        <is>
          <t>Thiết kế test case thủ công chất lượng cao đòi hỏi tính chi tiết và định lượng không kém kiểm thử tự động; việc cung cấp số liệu kỳ vọng rõ ràng (số dư, số lượng tồn, mã chứng từ) giúp người thực hiện thao tác thủ công không bị mơ hồ và ghi nhận kết quả chính xác 100%.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5"/>
  <sheetData>
    <row r="1">
      <c r="A1" t="inlineStr">
        <is>
          <t>Module</t>
        </is>
      </c>
      <c r="B1" t="inlineStr">
        <is>
          <t>Function ID</t>
        </is>
      </c>
      <c r="C1" t="inlineStr">
        <is>
          <t>Tên chức năng</t>
        </is>
      </c>
      <c r="D1" t="inlineStr">
        <is>
          <t>Tổng số TC</t>
        </is>
      </c>
      <c r="E1" t="inlineStr">
        <is>
          <t>Auto</t>
        </is>
      </c>
      <c r="F1" t="inlineStr">
        <is>
          <t>Manual</t>
        </is>
      </c>
      <c r="G1" t="inlineStr">
        <is>
          <t>Passed</t>
        </is>
      </c>
      <c r="H1" t="inlineStr">
        <is>
          <t>Failed</t>
        </is>
      </c>
      <c r="I1" t="inlineStr">
        <is>
          <t>Not Run</t>
        </is>
      </c>
      <c r="J1" t="inlineStr">
        <is>
          <t>Tỷ lệ Pass</t>
        </is>
      </c>
    </row>
    <row r="2">
      <c r="A2" t="inlineStr">
        <is>
          <t>CRM</t>
        </is>
      </c>
      <c r="B2" t="inlineStr">
        <is>
          <t>F-CRM-01</t>
        </is>
      </c>
      <c r="C2" t="inlineStr">
        <is>
          <t>Tạo khách hàng mới (Third-party creation)</t>
        </is>
      </c>
      <c r="D2">
        <f>COUNTIF('Test Cases'!$C:$C, B2)</f>
        <v/>
      </c>
      <c r="E2">
        <f>COUNTIFS('Test Cases'!$C:$C, B2, 'Test Cases'!$H:$H, "Auto")</f>
        <v/>
      </c>
      <c r="F2">
        <f>COUNTIFS('Test Cases'!$C:$C, B2, 'Test Cases'!$H:$H, "Manual")</f>
        <v/>
      </c>
      <c r="G2">
        <f>COUNTIFS('Test Cases'!$C:$C, B2, 'Test Cases'!$N:$N, "Pass")</f>
        <v/>
      </c>
      <c r="H2">
        <f>COUNTIFS('Test Cases'!$C:$C, B2, 'Test Cases'!$N:$N, "Fail")</f>
        <v/>
      </c>
      <c r="I2">
        <f>COUNTIFS('Test Cases'!$C:$C, B2, 'Test Cases'!$N:$N, "Not Run")</f>
        <v/>
      </c>
      <c r="J2" s="3">
        <f>IF(D2&gt;0, G2/D2, 0)</f>
        <v/>
      </c>
    </row>
    <row r="3">
      <c r="A3" t="inlineStr">
        <is>
          <t>CRM</t>
        </is>
      </c>
      <c r="B3" t="inlineStr">
        <is>
          <t>F-CRM-02</t>
        </is>
      </c>
      <c r="C3" t="inlineStr">
        <is>
          <t>Chỉnh sửa thông tin khách hàng (Third-party modification)</t>
        </is>
      </c>
      <c r="D3">
        <f>COUNTIF('Test Cases'!$C:$C, B3)</f>
        <v/>
      </c>
      <c r="E3">
        <f>COUNTIFS('Test Cases'!$C:$C, B3, 'Test Cases'!$H:$H, "Auto")</f>
        <v/>
      </c>
      <c r="F3">
        <f>COUNTIFS('Test Cases'!$C:$C, B3, 'Test Cases'!$H:$H, "Manual")</f>
        <v/>
      </c>
      <c r="G3">
        <f>COUNTIFS('Test Cases'!$C:$C, B3, 'Test Cases'!$N:$N, "Pass")</f>
        <v/>
      </c>
      <c r="H3">
        <f>COUNTIFS('Test Cases'!$C:$C, B3, 'Test Cases'!$N:$N, "Fail")</f>
        <v/>
      </c>
      <c r="I3">
        <f>COUNTIFS('Test Cases'!$C:$C, B3, 'Test Cases'!$N:$N, "Not Run")</f>
        <v/>
      </c>
      <c r="J3" s="3">
        <f>IF(D3&gt;0, G3/D3, 0)</f>
        <v/>
      </c>
    </row>
    <row r="4">
      <c r="A4" t="inlineStr">
        <is>
          <t>CRM</t>
        </is>
      </c>
      <c r="B4" t="inlineStr">
        <is>
          <t>F-CRM-03</t>
        </is>
      </c>
      <c r="C4" t="inlineStr">
        <is>
          <t>Tìm kiếm khách hàng (Third-party search)</t>
        </is>
      </c>
      <c r="D4">
        <f>COUNTIF('Test Cases'!$C:$C, B4)</f>
        <v/>
      </c>
      <c r="E4">
        <f>COUNTIFS('Test Cases'!$C:$C, B4, 'Test Cases'!$H:$H, "Auto")</f>
        <v/>
      </c>
      <c r="F4">
        <f>COUNTIFS('Test Cases'!$C:$C, B4, 'Test Cases'!$H:$H, "Manual")</f>
        <v/>
      </c>
      <c r="G4">
        <f>COUNTIFS('Test Cases'!$C:$C, B4, 'Test Cases'!$N:$N, "Pass")</f>
        <v/>
      </c>
      <c r="H4">
        <f>COUNTIFS('Test Cases'!$C:$C, B4, 'Test Cases'!$N:$N, "Fail")</f>
        <v/>
      </c>
      <c r="I4">
        <f>COUNTIFS('Test Cases'!$C:$C, B4, 'Test Cases'!$N:$N, "Not Run")</f>
        <v/>
      </c>
      <c r="J4" s="3">
        <f>IF(D4&gt;0, G4/D4, 0)</f>
        <v/>
      </c>
    </row>
    <row r="5">
      <c r="A5" t="inlineStr">
        <is>
          <t>CRM</t>
        </is>
      </c>
      <c r="B5" t="inlineStr">
        <is>
          <t>F-CRM-04</t>
        </is>
      </c>
      <c r="C5" t="inlineStr">
        <is>
          <t>Xóa khách hàng (Third-party deletion)</t>
        </is>
      </c>
      <c r="D5">
        <f>COUNTIF('Test Cases'!$C:$C, B5)</f>
        <v/>
      </c>
      <c r="E5">
        <f>COUNTIFS('Test Cases'!$C:$C, B5, 'Test Cases'!$H:$H, "Auto")</f>
        <v/>
      </c>
      <c r="F5">
        <f>COUNTIFS('Test Cases'!$C:$C, B5, 'Test Cases'!$H:$H, "Manual")</f>
        <v/>
      </c>
      <c r="G5">
        <f>COUNTIFS('Test Cases'!$C:$C, B5, 'Test Cases'!$N:$N, "Pass")</f>
        <v/>
      </c>
      <c r="H5">
        <f>COUNTIFS('Test Cases'!$C:$C, B5, 'Test Cases'!$N:$N, "Fail")</f>
        <v/>
      </c>
      <c r="I5">
        <f>COUNTIFS('Test Cases'!$C:$C, B5, 'Test Cases'!$N:$N, "Not Run")</f>
        <v/>
      </c>
      <c r="J5" s="3">
        <f>IF(D5&gt;0, G5/D5, 0)</f>
        <v/>
      </c>
    </row>
    <row r="6">
      <c r="A6" s="4" t="inlineStr">
        <is>
          <t>TỔNG CRM</t>
        </is>
      </c>
      <c r="B6" s="4" t="inlineStr">
        <is>
          <t>F-CRM</t>
        </is>
      </c>
      <c r="C6" s="4" t="inlineStr">
        <is>
          <t>Module CRM (4 chức năng)</t>
        </is>
      </c>
      <c r="D6" s="4">
        <f>SUM(D2:D5)</f>
        <v/>
      </c>
      <c r="E6" s="4">
        <f>SUM(E2:E5)</f>
        <v/>
      </c>
      <c r="F6" s="4">
        <f>SUM(F2:F5)</f>
        <v/>
      </c>
      <c r="G6" s="4">
        <f>SUM(G2:G5)</f>
        <v/>
      </c>
      <c r="H6" s="4">
        <f>SUM(H2:H5)</f>
        <v/>
      </c>
      <c r="I6" s="4">
        <f>SUM(I2:I5)</f>
        <v/>
      </c>
      <c r="J6" s="5">
        <f>IF(D6&gt;0, G6/D6, 0)</f>
        <v/>
      </c>
    </row>
    <row r="7">
      <c r="A7" t="inlineStr">
        <is>
          <t>Sales &amp; Invoicing</t>
        </is>
      </c>
      <c r="B7" t="inlineStr">
        <is>
          <t>F-SAL-01</t>
        </is>
      </c>
      <c r="C7" t="inlineStr">
        <is>
          <t>Báo giá thương mại (Commercial Proposals)</t>
        </is>
      </c>
      <c r="D7">
        <f>COUNTIF('Test Cases'!$C:$C, B7)</f>
        <v/>
      </c>
      <c r="E7">
        <f>COUNTIFS('Test Cases'!$C:$C, B7, 'Test Cases'!$H:$H, "Auto")</f>
        <v/>
      </c>
      <c r="F7">
        <f>COUNTIFS('Test Cases'!$C:$C, B7, 'Test Cases'!$H:$H, "Manual")</f>
        <v/>
      </c>
      <c r="G7">
        <f>COUNTIFS('Test Cases'!$C:$C, B7, 'Test Cases'!$N:$N, "Pass")</f>
        <v/>
      </c>
      <c r="H7">
        <f>COUNTIFS('Test Cases'!$C:$C, B7, 'Test Cases'!$N:$N, "Fail")</f>
        <v/>
      </c>
      <c r="I7">
        <f>COUNTIFS('Test Cases'!$C:$C, B7, 'Test Cases'!$N:$N, "Not Run")</f>
        <v/>
      </c>
      <c r="J7" s="3">
        <f>IF(D7&gt;0, G7/D7, 0)</f>
        <v/>
      </c>
    </row>
    <row r="8">
      <c r="A8" t="inlineStr">
        <is>
          <t>Sales &amp; Invoicing</t>
        </is>
      </c>
      <c r="B8" t="inlineStr">
        <is>
          <t>F-SAL-02</t>
        </is>
      </c>
      <c r="C8" t="inlineStr">
        <is>
          <t>Hóa đơn bán hàng chuẩn (Proposal to Invoice)</t>
        </is>
      </c>
      <c r="D8">
        <f>COUNTIF('Test Cases'!$C:$C, B8)</f>
        <v/>
      </c>
      <c r="E8">
        <f>COUNTIFS('Test Cases'!$C:$C, B8, 'Test Cases'!$H:$H, "Auto")</f>
        <v/>
      </c>
      <c r="F8">
        <f>COUNTIFS('Test Cases'!$C:$C, B8, 'Test Cases'!$H:$H, "Manual")</f>
        <v/>
      </c>
      <c r="G8">
        <f>COUNTIFS('Test Cases'!$C:$C, B8, 'Test Cases'!$N:$N, "Pass")</f>
        <v/>
      </c>
      <c r="H8">
        <f>COUNTIFS('Test Cases'!$C:$C, B8, 'Test Cases'!$N:$N, "Fail")</f>
        <v/>
      </c>
      <c r="I8">
        <f>COUNTIFS('Test Cases'!$C:$C, B8, 'Test Cases'!$N:$N, "Not Run")</f>
        <v/>
      </c>
      <c r="J8" s="3">
        <f>IF(D8&gt;0, G8/D8, 0)</f>
        <v/>
      </c>
    </row>
    <row r="9">
      <c r="A9" t="inlineStr">
        <is>
          <t>Sales &amp; Invoicing</t>
        </is>
      </c>
      <c r="B9" t="inlineStr">
        <is>
          <t>F-SAL-03</t>
        </is>
      </c>
      <c r="C9" t="inlineStr">
        <is>
          <t>Hóa đơn đặc biệt (Hủy, Credit note, Thanh toán một phần)</t>
        </is>
      </c>
      <c r="D9">
        <f>COUNTIF('Test Cases'!$C:$C, B9)</f>
        <v/>
      </c>
      <c r="E9">
        <f>COUNTIFS('Test Cases'!$C:$C, B9, 'Test Cases'!$H:$H, "Auto")</f>
        <v/>
      </c>
      <c r="F9">
        <f>COUNTIFS('Test Cases'!$C:$C, B9, 'Test Cases'!$H:$H, "Manual")</f>
        <v/>
      </c>
      <c r="G9">
        <f>COUNTIFS('Test Cases'!$C:$C, B9, 'Test Cases'!$N:$N, "Pass")</f>
        <v/>
      </c>
      <c r="H9">
        <f>COUNTIFS('Test Cases'!$C:$C, B9, 'Test Cases'!$N:$N, "Fail")</f>
        <v/>
      </c>
      <c r="I9">
        <f>COUNTIFS('Test Cases'!$C:$C, B9, 'Test Cases'!$N:$N, "Not Run")</f>
        <v/>
      </c>
      <c r="J9" s="3">
        <f>IF(D9&gt;0, G9/D9, 0)</f>
        <v/>
      </c>
    </row>
    <row r="10">
      <c r="A10" s="4" t="inlineStr">
        <is>
          <t>TỔNG SALES</t>
        </is>
      </c>
      <c r="B10" s="4" t="inlineStr">
        <is>
          <t>F-SAL</t>
        </is>
      </c>
      <c r="C10" s="4" t="inlineStr">
        <is>
          <t>Module Sales &amp; Invoicing (3 chức năng)</t>
        </is>
      </c>
      <c r="D10" s="4">
        <f>SUM(D7:D9)</f>
        <v/>
      </c>
      <c r="E10" s="4">
        <f>SUM(E7:E9)</f>
        <v/>
      </c>
      <c r="F10" s="4">
        <f>SUM(F7:F9)</f>
        <v/>
      </c>
      <c r="G10" s="4">
        <f>SUM(G7:G9)</f>
        <v/>
      </c>
      <c r="H10" s="4">
        <f>SUM(H7:H9)</f>
        <v/>
      </c>
      <c r="I10" s="4">
        <f>SUM(I7:I9)</f>
        <v/>
      </c>
      <c r="J10" s="5">
        <f>IF(D10&gt;0, G10/D10, 0)</f>
        <v/>
      </c>
    </row>
    <row r="11">
      <c r="A11" t="inlineStr">
        <is>
          <t>Stock</t>
        </is>
      </c>
      <c r="B11" t="inlineStr">
        <is>
          <t>F-STK-01</t>
        </is>
      </c>
      <c r="C11" t="inlineStr">
        <is>
          <t>Trừ kho tự động theo hóa đơn (Integration)</t>
        </is>
      </c>
      <c r="D11">
        <f>COUNTIF('Test Cases'!$C:$C, B11)</f>
        <v/>
      </c>
      <c r="E11">
        <f>COUNTIFS('Test Cases'!$C:$C, B11, 'Test Cases'!$H:$H, "Auto")</f>
        <v/>
      </c>
      <c r="F11">
        <f>COUNTIFS('Test Cases'!$C:$C, B11, 'Test Cases'!$H:$H, "Manual")</f>
        <v/>
      </c>
      <c r="G11">
        <f>COUNTIFS('Test Cases'!$C:$C, B11, 'Test Cases'!$N:$N, "Pass")</f>
        <v/>
      </c>
      <c r="H11">
        <f>COUNTIFS('Test Cases'!$C:$C, B11, 'Test Cases'!$N:$N, "Fail")</f>
        <v/>
      </c>
      <c r="I11">
        <f>COUNTIFS('Test Cases'!$C:$C, B11, 'Test Cases'!$N:$N, "Not Run")</f>
        <v/>
      </c>
      <c r="J11" s="3">
        <f>IF(D11&gt;0, G11/D11, 0)</f>
        <v/>
      </c>
    </row>
    <row r="12">
      <c r="A12" t="inlineStr">
        <is>
          <t>Stock</t>
        </is>
      </c>
      <c r="B12" t="inlineStr">
        <is>
          <t>F-STK-02</t>
        </is>
      </c>
      <c r="C12" t="inlineStr">
        <is>
          <t>Điều chỉnh tồn kho thủ công (Stock Correction)</t>
        </is>
      </c>
      <c r="D12">
        <f>COUNTIF('Test Cases'!$C:$C, B12)</f>
        <v/>
      </c>
      <c r="E12">
        <f>COUNTIFS('Test Cases'!$C:$C, B12, 'Test Cases'!$H:$H, "Auto")</f>
        <v/>
      </c>
      <c r="F12">
        <f>COUNTIFS('Test Cases'!$C:$C, B12, 'Test Cases'!$H:$H, "Manual")</f>
        <v/>
      </c>
      <c r="G12">
        <f>COUNTIFS('Test Cases'!$C:$C, B12, 'Test Cases'!$N:$N, "Pass")</f>
        <v/>
      </c>
      <c r="H12">
        <f>COUNTIFS('Test Cases'!$C:$C, B12, 'Test Cases'!$N:$N, "Fail")</f>
        <v/>
      </c>
      <c r="I12">
        <f>COUNTIFS('Test Cases'!$C:$C, B12, 'Test Cases'!$N:$N, "Not Run")</f>
        <v/>
      </c>
      <c r="J12" s="3">
        <f>IF(D12&gt;0, G12/D12, 0)</f>
        <v/>
      </c>
    </row>
    <row r="13">
      <c r="A13" t="inlineStr">
        <is>
          <t>Stock</t>
        </is>
      </c>
      <c r="B13" t="inlineStr">
        <is>
          <t>F-STK-03</t>
        </is>
      </c>
      <c r="C13" t="inlineStr">
        <is>
          <t>Cảnh báo tồn kho tối thiểu (Stock Limit &amp; Alert Threshold)</t>
        </is>
      </c>
      <c r="D13">
        <f>COUNTIF('Test Cases'!$C:$C, B13)</f>
        <v/>
      </c>
      <c r="E13">
        <f>COUNTIFS('Test Cases'!$C:$C, B13, 'Test Cases'!$H:$H, "Auto")</f>
        <v/>
      </c>
      <c r="F13">
        <f>COUNTIFS('Test Cases'!$C:$C, B13, 'Test Cases'!$H:$H, "Manual")</f>
        <v/>
      </c>
      <c r="G13">
        <f>COUNTIFS('Test Cases'!$C:$C, B13, 'Test Cases'!$N:$N, "Pass")</f>
        <v/>
      </c>
      <c r="H13">
        <f>COUNTIFS('Test Cases'!$C:$C, B13, 'Test Cases'!$N:$N, "Fail")</f>
        <v/>
      </c>
      <c r="I13">
        <f>COUNTIFS('Test Cases'!$C:$C, B13, 'Test Cases'!$N:$N, "Not Run")</f>
        <v/>
      </c>
      <c r="J13" s="3">
        <f>IF(D13&gt;0, G13/D13, 0)</f>
        <v/>
      </c>
    </row>
    <row r="14">
      <c r="A14" s="4" t="inlineStr">
        <is>
          <t>TỔNG STOCK</t>
        </is>
      </c>
      <c r="B14" s="4" t="inlineStr">
        <is>
          <t>F-STK</t>
        </is>
      </c>
      <c r="C14" s="4" t="inlineStr">
        <is>
          <t>Module Stock (3 chức năng)</t>
        </is>
      </c>
      <c r="D14" s="4">
        <f>SUM(D11:D13)</f>
        <v/>
      </c>
      <c r="E14" s="4">
        <f>SUM(E11:E13)</f>
        <v/>
      </c>
      <c r="F14" s="4">
        <f>SUM(F11:F13)</f>
        <v/>
      </c>
      <c r="G14" s="4">
        <f>SUM(G11:G13)</f>
        <v/>
      </c>
      <c r="H14" s="4">
        <f>SUM(H11:H13)</f>
        <v/>
      </c>
      <c r="I14" s="4">
        <f>SUM(I11:I13)</f>
        <v/>
      </c>
      <c r="J14" s="5">
        <f>IF(D14&gt;0, G14/D14, 0)</f>
        <v/>
      </c>
    </row>
    <row r="15">
      <c r="A15" s="4" t="inlineStr">
        <is>
          <t>TỔNG CỘNG TOÀN DỰ ÁN</t>
        </is>
      </c>
      <c r="B15" s="4" t="inlineStr">
        <is>
          <t>ALL</t>
        </is>
      </c>
      <c r="C15" s="4" t="inlineStr">
        <is>
          <t>Toàn bộ 3 Module (CRM, Sales, Stock)</t>
        </is>
      </c>
      <c r="D15" s="4">
        <f>D6+D10+D14</f>
        <v/>
      </c>
      <c r="E15" s="4">
        <f>E6+E10+E14</f>
        <v/>
      </c>
      <c r="F15" s="4">
        <f>F6+F10+F14</f>
        <v/>
      </c>
      <c r="G15" s="4">
        <f>G6+G10+G14</f>
        <v/>
      </c>
      <c r="H15" s="4">
        <f>H6+H10+H14</f>
        <v/>
      </c>
      <c r="I15" s="4">
        <f>I6+I10+I14</f>
        <v/>
      </c>
      <c r="J15" s="5">
        <f>IF(D15&gt;0, G15/D15, 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4.5"/>
  <sheetData>
    <row r="1">
      <c r="A1" t="inlineStr">
        <is>
          <t>Use Case ID</t>
        </is>
      </c>
      <c r="B1" t="inlineStr">
        <is>
          <t>Tên Use Case</t>
        </is>
      </c>
      <c r="C1" t="inlineStr">
        <is>
          <t>Function ID</t>
        </is>
      </c>
      <c r="D1" t="inlineStr">
        <is>
          <t>Tên chức năng</t>
        </is>
      </c>
      <c r="E1" t="inlineStr">
        <is>
          <t>Scenario</t>
        </is>
      </c>
      <c r="F1" t="inlineStr">
        <is>
          <t>Test ID</t>
        </is>
      </c>
      <c r="G1" t="inlineStr">
        <is>
          <t>Tiêu đề Test Case</t>
        </is>
      </c>
      <c r="H1" t="inlineStr">
        <is>
          <t>Loại</t>
        </is>
      </c>
      <c r="I1" t="inlineStr">
        <is>
          <t>Trạng thái</t>
        </is>
      </c>
    </row>
    <row r="2">
      <c r="A2" t="inlineStr">
        <is>
          <t>UC-02</t>
        </is>
      </c>
      <c r="B2" t="inlineStr">
        <is>
          <t>Quản lý thông tin Khách hàng (CRM)</t>
        </is>
      </c>
      <c r="C2" t="inlineStr">
        <is>
          <t>F-CRM-01</t>
        </is>
      </c>
      <c r="D2" t="inlineStr">
        <is>
          <t>Tạo khách hàng mới (Third-party creation)</t>
        </is>
      </c>
      <c r="E2" t="inlineStr">
        <is>
          <t>Tao khach hang -- kiem tra bien ten (BVA)</t>
        </is>
      </c>
      <c r="F2" t="inlineStr">
        <is>
          <t>TC_CRM_005</t>
        </is>
      </c>
      <c r="G2" t="inlineStr">
        <is>
          <t>Tao khach hang voi ten dung 128 ky tu (gioi han toi da)</t>
        </is>
      </c>
      <c r="H2" t="inlineStr">
        <is>
          <t>Auto</t>
        </is>
      </c>
      <c r="I2" t="inlineStr">
        <is>
          <t>Pass</t>
        </is>
      </c>
    </row>
    <row r="3">
      <c r="A3" t="inlineStr">
        <is>
          <t>UC-02</t>
        </is>
      </c>
      <c r="B3" t="inlineStr">
        <is>
          <t>Quản lý thông tin Khách hàng (CRM)</t>
        </is>
      </c>
      <c r="C3" t="inlineStr">
        <is>
          <t>F-CRM-01</t>
        </is>
      </c>
      <c r="D3" t="inlineStr">
        <is>
          <t>Tạo khách hàng mới (Third-party creation)</t>
        </is>
      </c>
      <c r="E3" t="inlineStr">
        <is>
          <t>Tao khach hang -- kiem tra bien ten (BVA)</t>
        </is>
      </c>
      <c r="F3" t="inlineStr">
        <is>
          <t>TC_CRM_006</t>
        </is>
      </c>
      <c r="G3" t="inlineStr">
        <is>
          <t>Nhap ten 129 ky tu vao o Ten khach hang (gioi han UI maxlength=128)</t>
        </is>
      </c>
      <c r="H3" t="inlineStr">
        <is>
          <t>Auto</t>
        </is>
      </c>
      <c r="I3" t="inlineStr">
        <is>
          <t>Pass</t>
        </is>
      </c>
    </row>
    <row r="4">
      <c r="A4" t="inlineStr">
        <is>
          <t>UC-02</t>
        </is>
      </c>
      <c r="B4" t="inlineStr">
        <is>
          <t>Quản lý thông tin Khách hàng (CRM)</t>
        </is>
      </c>
      <c r="C4" t="inlineStr">
        <is>
          <t>F-CRM-01</t>
        </is>
      </c>
      <c r="D4" t="inlineStr">
        <is>
          <t>Tạo khách hàng mới (Third-party creation)</t>
        </is>
      </c>
      <c r="E4" t="inlineStr">
        <is>
          <t>Tao khach hang -- kiem tra bien ten (BVA / EP)</t>
        </is>
      </c>
      <c r="F4" t="inlineStr">
        <is>
          <t>TC_CRM_007</t>
        </is>
      </c>
      <c r="G4" t="inlineStr">
        <is>
          <t>Tao khach hang voi ten de trong (khong nhap)</t>
        </is>
      </c>
      <c r="H4" t="inlineStr">
        <is>
          <t>Auto</t>
        </is>
      </c>
      <c r="I4" t="inlineStr">
        <is>
          <t>Pass</t>
        </is>
      </c>
    </row>
    <row r="5">
      <c r="A5" t="inlineStr">
        <is>
          <t>UC-02</t>
        </is>
      </c>
      <c r="B5" t="inlineStr">
        <is>
          <t>Quản lý thông tin Khách hàng (CRM)</t>
        </is>
      </c>
      <c r="C5" t="inlineStr">
        <is>
          <t>F-CRM-01</t>
        </is>
      </c>
      <c r="D5" t="inlineStr">
        <is>
          <t>Tạo khách hàng mới (Third-party creation)</t>
        </is>
      </c>
      <c r="E5" t="inlineStr">
        <is>
          <t>Tao khach hang -- kiem tra bien ten (BVA / EP)</t>
        </is>
      </c>
      <c r="F5" t="inlineStr">
        <is>
          <t>TC_CRM_008</t>
        </is>
      </c>
      <c r="G5" t="inlineStr">
        <is>
          <t>Tao khach hang voi ten dung 1 ky tu</t>
        </is>
      </c>
      <c r="H5" t="inlineStr">
        <is>
          <t>Auto</t>
        </is>
      </c>
      <c r="I5" t="inlineStr">
        <is>
          <t>Pass</t>
        </is>
      </c>
    </row>
    <row r="6">
      <c r="A6" t="inlineStr">
        <is>
          <t>UC-02</t>
        </is>
      </c>
      <c r="B6" t="inlineStr">
        <is>
          <t>Quản lý thông tin Khách hàng (CRM)</t>
        </is>
      </c>
      <c r="C6" t="inlineStr">
        <is>
          <t>F-CRM-01</t>
        </is>
      </c>
      <c r="D6" t="inlineStr">
        <is>
          <t>Tạo khách hàng mới (Third-party creation)</t>
        </is>
      </c>
      <c r="E6" t="inlineStr">
        <is>
          <t>Tao khach hang -- kiem tra bien ten (EP)</t>
        </is>
      </c>
      <c r="F6" t="inlineStr">
        <is>
          <t>TC_CRM_009</t>
        </is>
      </c>
      <c r="G6" t="inlineStr">
        <is>
          <t>Tao khach hang voi ten chi gom khoang trang</t>
        </is>
      </c>
      <c r="H6" t="inlineStr">
        <is>
          <t>Auto</t>
        </is>
      </c>
      <c r="I6" t="inlineStr">
        <is>
          <t>Pass</t>
        </is>
      </c>
    </row>
    <row r="7">
      <c r="A7" t="inlineStr">
        <is>
          <t>UC-02</t>
        </is>
      </c>
      <c r="B7" t="inlineStr">
        <is>
          <t>Quản lý thông tin Khách hàng (CRM)</t>
        </is>
      </c>
      <c r="C7" t="inlineStr">
        <is>
          <t>F-CRM-01</t>
        </is>
      </c>
      <c r="D7" t="inlineStr">
        <is>
          <t>Tạo khách hàng mới (Third-party creation)</t>
        </is>
      </c>
      <c r="E7" t="inlineStr">
        <is>
          <t>Tao khach hang -- ky tu dac biet / an toan du lieu</t>
        </is>
      </c>
      <c r="F7" t="inlineStr">
        <is>
          <t>TC_CRM_010</t>
        </is>
      </c>
      <c r="G7" t="inlineStr">
        <is>
          <t>Tao khach hang voi ten chua ky tu dac biet va the HTML</t>
        </is>
      </c>
      <c r="H7" t="inlineStr">
        <is>
          <t>Auto</t>
        </is>
      </c>
      <c r="I7" t="inlineStr">
        <is>
          <t>Fail</t>
        </is>
      </c>
    </row>
    <row r="8">
      <c r="A8" t="inlineStr">
        <is>
          <t>UC-02</t>
        </is>
      </c>
      <c r="B8" t="inlineStr">
        <is>
          <t>Quản lý thông tin Khách hàng (CRM)</t>
        </is>
      </c>
      <c r="C8" t="inlineStr">
        <is>
          <t>F-CRM-01</t>
        </is>
      </c>
      <c r="D8" t="inlineStr">
        <is>
          <t>Tạo khách hàng mới (Third-party creation)</t>
        </is>
      </c>
      <c r="E8" t="inlineStr">
        <is>
          <t>Tao khach hang -- ky tu Unicode / tieng Viet co dau</t>
        </is>
      </c>
      <c r="F8" t="inlineStr">
        <is>
          <t>TC_CRM_011</t>
        </is>
      </c>
      <c r="G8" t="inlineStr">
        <is>
          <t>Tao khach hang voi ten tieng Viet co dau du 128 ky tu</t>
        </is>
      </c>
      <c r="H8" t="inlineStr">
        <is>
          <t>Auto</t>
        </is>
      </c>
      <c r="I8" t="inlineStr">
        <is>
          <t>Pass</t>
        </is>
      </c>
    </row>
    <row r="9">
      <c r="A9" t="inlineStr">
        <is>
          <t>UC-02</t>
        </is>
      </c>
      <c r="B9" t="inlineStr">
        <is>
          <t>Quản lý thông tin Khách hàng (CRM)</t>
        </is>
      </c>
      <c r="C9" t="inlineStr">
        <is>
          <t>F-CRM-02</t>
        </is>
      </c>
      <c r="D9" t="inlineStr">
        <is>
          <t>Chỉnh sửa thông tin khách hàng (Third-party modification)</t>
        </is>
      </c>
      <c r="E9" t="inlineStr">
        <is>
          <t>Cap nhat thong tin khach hang -- Sua ten</t>
        </is>
      </c>
      <c r="F9" t="inlineStr">
        <is>
          <t>TC_CRM_012</t>
        </is>
      </c>
      <c r="G9" t="inlineStr">
        <is>
          <t>Sua ten khach hang thanh ten moi va luu</t>
        </is>
      </c>
      <c r="H9" t="inlineStr">
        <is>
          <t>Auto</t>
        </is>
      </c>
      <c r="I9" t="inlineStr">
        <is>
          <t>Pass</t>
        </is>
      </c>
    </row>
    <row r="10">
      <c r="A10" t="inlineStr">
        <is>
          <t>UC-02</t>
        </is>
      </c>
      <c r="B10" t="inlineStr">
        <is>
          <t>Quản lý thông tin Khách hàng (CRM)</t>
        </is>
      </c>
      <c r="C10" t="inlineStr">
        <is>
          <t>F-CRM-03</t>
        </is>
      </c>
      <c r="D10" t="inlineStr">
        <is>
          <t>Tìm kiếm khách hàng (Third-party search)</t>
        </is>
      </c>
      <c r="E10" t="inlineStr">
        <is>
          <t>Tim kiem khach hang -- Ten day du</t>
        </is>
      </c>
      <c r="F10" t="inlineStr">
        <is>
          <t>TC_CRM_013</t>
        </is>
      </c>
      <c r="G10" t="inlineStr">
        <is>
          <t>Tim kiem khach hang theo ten chinh xac day du</t>
        </is>
      </c>
      <c r="H10" t="inlineStr">
        <is>
          <t>Auto</t>
        </is>
      </c>
      <c r="I10" t="inlineStr">
        <is>
          <t>Pass</t>
        </is>
      </c>
    </row>
    <row r="11">
      <c r="A11" t="inlineStr">
        <is>
          <t>UC-02</t>
        </is>
      </c>
      <c r="B11" t="inlineStr">
        <is>
          <t>Quản lý thông tin Khách hàng (CRM)</t>
        </is>
      </c>
      <c r="C11" t="inlineStr">
        <is>
          <t>F-CRM-03</t>
        </is>
      </c>
      <c r="D11" t="inlineStr">
        <is>
          <t>Tìm kiếm khách hàng (Third-party search)</t>
        </is>
      </c>
      <c r="E11" t="inlineStr">
        <is>
          <t>Tim kiem khach hang -- Mot phan ten</t>
        </is>
      </c>
      <c r="F11" t="inlineStr">
        <is>
          <t>TC_CRM_014</t>
        </is>
      </c>
      <c r="G11" t="inlineStr">
        <is>
          <t>Tim kiem khach hang theo mot phan chuoi ten (keyword/partial match)</t>
        </is>
      </c>
      <c r="H11" t="inlineStr">
        <is>
          <t>Auto</t>
        </is>
      </c>
      <c r="I11" t="inlineStr">
        <is>
          <t>Pass</t>
        </is>
      </c>
    </row>
    <row r="12">
      <c r="A12" t="inlineStr">
        <is>
          <t>UC-02</t>
        </is>
      </c>
      <c r="B12" t="inlineStr">
        <is>
          <t>Quản lý thông tin Khách hàng (CRM)</t>
        </is>
      </c>
      <c r="C12" t="inlineStr">
        <is>
          <t>F-CRM-03</t>
        </is>
      </c>
      <c r="D12" t="inlineStr">
        <is>
          <t>Tìm kiếm khách hàng (Third-party search)</t>
        </is>
      </c>
      <c r="E12" t="inlineStr">
        <is>
          <t>Tim kiem khach hang -- Ten khong ton tai</t>
        </is>
      </c>
      <c r="F12" t="inlineStr">
        <is>
          <t>TC_CRM_015</t>
        </is>
      </c>
      <c r="G12" t="inlineStr">
        <is>
          <t>Tim kiem khach hang voi ten khong ton tai trong he thong</t>
        </is>
      </c>
      <c r="H12" t="inlineStr">
        <is>
          <t>Auto</t>
        </is>
      </c>
      <c r="I12" t="inlineStr">
        <is>
          <t>Pass</t>
        </is>
      </c>
    </row>
    <row r="13">
      <c r="A13" t="inlineStr">
        <is>
          <t>UC-02</t>
        </is>
      </c>
      <c r="B13" t="inlineStr">
        <is>
          <t>Quản lý thông tin Khách hàng (CRM)</t>
        </is>
      </c>
      <c r="C13" t="inlineStr">
        <is>
          <t>F-CRM-04</t>
        </is>
      </c>
      <c r="D13" t="inlineStr">
        <is>
          <t>Xóa khách hàng (Third-party deletion)</t>
        </is>
      </c>
      <c r="E13" t="inlineStr">
        <is>
          <t>Xoa khach hang -- Luong chuan</t>
        </is>
      </c>
      <c r="F13" t="inlineStr">
        <is>
          <t>TC_CRM_016</t>
        </is>
      </c>
      <c r="G13" t="inlineStr">
        <is>
          <t>Xoa khach hang khoi he thong va xac minh khong con ton tai</t>
        </is>
      </c>
      <c r="H13" t="inlineStr">
        <is>
          <t>Auto</t>
        </is>
      </c>
      <c r="I13" t="inlineStr">
        <is>
          <t>Pass</t>
        </is>
      </c>
    </row>
    <row r="14">
      <c r="A14" t="inlineStr">
        <is>
          <t>UC-01</t>
        </is>
      </c>
      <c r="B14" t="inlineStr">
        <is>
          <t>Luồng chuẩn Báo giá -&gt; Hóa đơn (Sales)</t>
        </is>
      </c>
      <c r="C14" t="inlineStr">
        <is>
          <t>F-SAL-01</t>
        </is>
      </c>
      <c r="D14" t="inlineStr">
        <is>
          <t>Báo giá thương mại (Commercial Proposals)</t>
        </is>
      </c>
      <c r="E14" t="inlineStr">
        <is>
          <t>Tạo báo giá thương mại -- luồng chuẩn</t>
        </is>
      </c>
      <c r="F14" t="inlineStr">
        <is>
          <t>TC_SAL_001</t>
        </is>
      </c>
      <c r="G14" t="inlineStr">
        <is>
          <t>Tạo báo giá nháp mới cho khách hàng doanh nghiệp</t>
        </is>
      </c>
      <c r="H14" t="inlineStr">
        <is>
          <t>Auto</t>
        </is>
      </c>
      <c r="I14" t="inlineStr">
        <is>
          <t>Pass</t>
        </is>
      </c>
    </row>
    <row r="15">
      <c r="A15" t="inlineStr">
        <is>
          <t>UC-01</t>
        </is>
      </c>
      <c r="B15" t="inlineStr">
        <is>
          <t>Luồng chuẩn Báo giá -&gt; Hóa đơn (Sales)</t>
        </is>
      </c>
      <c r="C15" t="inlineStr">
        <is>
          <t>F-SAL-01</t>
        </is>
      </c>
      <c r="D15" t="inlineStr">
        <is>
          <t>Báo giá thương mại (Commercial Proposals)</t>
        </is>
      </c>
      <c r="E15" t="inlineStr">
        <is>
          <t>Thêm sản phẩm và tính toán tiền hàng trong báo giá</t>
        </is>
      </c>
      <c r="F15" t="inlineStr">
        <is>
          <t>TC_SAL_002</t>
        </is>
      </c>
      <c r="G15" t="inlineStr">
        <is>
          <t>Thêm 1 sản phẩm PR001 vào báo giá nháp và kiểm tra tính toán tiền</t>
        </is>
      </c>
      <c r="H15" t="inlineStr">
        <is>
          <t>Auto</t>
        </is>
      </c>
      <c r="I15" t="inlineStr">
        <is>
          <t>Pass</t>
        </is>
      </c>
    </row>
    <row r="16">
      <c r="A16" t="inlineStr">
        <is>
          <t>UC-01</t>
        </is>
      </c>
      <c r="B16" t="inlineStr">
        <is>
          <t>Luồng chuẩn Báo giá -&gt; Hóa đơn (Sales)</t>
        </is>
      </c>
      <c r="C16" t="inlineStr">
        <is>
          <t>F-SAL-01</t>
        </is>
      </c>
      <c r="D16" t="inlineStr">
        <is>
          <t>Báo giá thương mại (Commercial Proposals)</t>
        </is>
      </c>
      <c r="E16" t="inlineStr">
        <is>
          <t>Thêm nhiều sản phẩm vào báo giá -- tính lũy kế</t>
        </is>
      </c>
      <c r="F16" t="inlineStr">
        <is>
          <t>TC_SAL_003</t>
        </is>
      </c>
      <c r="G16" t="inlineStr">
        <is>
          <t>Thêm sản phẩm thứ 2 PR002 vào báo giá và kiểm tra cộng dồn tổng tiền</t>
        </is>
      </c>
      <c r="H16" t="inlineStr">
        <is>
          <t>Auto</t>
        </is>
      </c>
      <c r="I16" t="inlineStr">
        <is>
          <t>Pass</t>
        </is>
      </c>
    </row>
    <row r="17">
      <c r="A17" t="inlineStr">
        <is>
          <t>UC-01</t>
        </is>
      </c>
      <c r="B17" t="inlineStr">
        <is>
          <t>Luồng chuẩn Báo giá -&gt; Hóa đơn (Sales)</t>
        </is>
      </c>
      <c r="C17" t="inlineStr">
        <is>
          <t>F-SAL-01</t>
        </is>
      </c>
      <c r="D17" t="inlineStr">
        <is>
          <t>Báo giá thương mại (Commercial Proposals)</t>
        </is>
      </c>
      <c r="E17" t="inlineStr">
        <is>
          <t>Duyệt báo giá thương mại</t>
        </is>
      </c>
      <c r="F17" t="inlineStr">
        <is>
          <t>TC_SAL_004</t>
        </is>
      </c>
      <c r="G17" t="inlineStr">
        <is>
          <t>Xác thực báo giá nháp chuyển sang trạng thái Validated (Open)</t>
        </is>
      </c>
      <c r="H17" t="inlineStr">
        <is>
          <t>Auto</t>
        </is>
      </c>
      <c r="I17" t="inlineStr">
        <is>
          <t>Pass</t>
        </is>
      </c>
    </row>
    <row r="18">
      <c r="A18" t="inlineStr">
        <is>
          <t>UC-01</t>
        </is>
      </c>
      <c r="B18" t="inlineStr">
        <is>
          <t>Luồng chuẩn Báo giá -&gt; Hóa đơn (Sales)</t>
        </is>
      </c>
      <c r="C18" t="inlineStr">
        <is>
          <t>F-SAL-01</t>
        </is>
      </c>
      <c r="D18" t="inlineStr">
        <is>
          <t>Báo giá thương mại (Commercial Proposals)</t>
        </is>
      </c>
      <c r="E18" t="inlineStr">
        <is>
          <t>Ký duyệt báo giá thương mại</t>
        </is>
      </c>
      <c r="F18" t="inlineStr">
        <is>
          <t>TC_SAL_005</t>
        </is>
      </c>
      <c r="G18" t="inlineStr">
        <is>
          <t>Đóng báo giá với trạng thái Chấp thuận/Đã ký (Signed)</t>
        </is>
      </c>
      <c r="H18" t="inlineStr">
        <is>
          <t>Auto</t>
        </is>
      </c>
      <c r="I18" t="inlineStr">
        <is>
          <t>Pass</t>
        </is>
      </c>
    </row>
    <row r="19">
      <c r="A19" t="inlineStr">
        <is>
          <t>UC-01</t>
        </is>
      </c>
      <c r="B19" t="inlineStr">
        <is>
          <t>Luồng chuẩn Báo giá -&gt; Hóa đơn (Sales)</t>
        </is>
      </c>
      <c r="C19" t="inlineStr">
        <is>
          <t>F-SAL-02</t>
        </is>
      </c>
      <c r="D19" t="inlineStr">
        <is>
          <t>Hóa đơn bán hàng chuẩn (Proposal to Invoice)</t>
        </is>
      </c>
      <c r="E19" t="inlineStr">
        <is>
          <t>Chuyển báo giá thành hóa đơn bán hàng</t>
        </is>
      </c>
      <c r="F19" t="inlineStr">
        <is>
          <t>TC_SAL_006</t>
        </is>
      </c>
      <c r="G19" t="inlineStr">
        <is>
          <t>Tạo hóa đơn bán hàng trực tiếp từ báo giá đã ký</t>
        </is>
      </c>
      <c r="H19" t="inlineStr">
        <is>
          <t>Auto</t>
        </is>
      </c>
      <c r="I19" t="inlineStr">
        <is>
          <t>Pass</t>
        </is>
      </c>
    </row>
    <row r="20">
      <c r="A20" t="inlineStr">
        <is>
          <t>UC-01</t>
        </is>
      </c>
      <c r="B20" t="inlineStr">
        <is>
          <t>Luồng chuẩn Báo giá -&gt; Hóa đơn (Sales)</t>
        </is>
      </c>
      <c r="C20" t="inlineStr">
        <is>
          <t>F-SAL-02</t>
        </is>
      </c>
      <c r="D20" t="inlineStr">
        <is>
          <t>Hóa đơn bán hàng chuẩn (Proposal to Invoice)</t>
        </is>
      </c>
      <c r="E20" t="inlineStr">
        <is>
          <t>Xác thực hóa đơn bán hàng</t>
        </is>
      </c>
      <c r="F20" t="inlineStr">
        <is>
          <t>TC_SAL_007</t>
        </is>
      </c>
      <c r="G20" t="inlineStr">
        <is>
          <t>Xác thực hóa đơn chuyển sang trạng thái Unpaid và cấp mã chính thức</t>
        </is>
      </c>
      <c r="H20" t="inlineStr">
        <is>
          <t>Auto</t>
        </is>
      </c>
      <c r="I20" t="inlineStr">
        <is>
          <t>Pass</t>
        </is>
      </c>
    </row>
    <row r="21">
      <c r="A21" t="inlineStr">
        <is>
          <t>UC-03</t>
        </is>
      </c>
      <c r="B21" t="inlineStr">
        <is>
          <t>Quản lý Kho &amp; Tồn kho (Stock)</t>
        </is>
      </c>
      <c r="C21" t="inlineStr">
        <is>
          <t>F-STK-01</t>
        </is>
      </c>
      <c r="D21" t="inlineStr">
        <is>
          <t>Trừ kho tự động theo hóa đơn (Integration)</t>
        </is>
      </c>
      <c r="E21" t="inlineStr">
        <is>
          <t>Kiểm tra quy tắc trừ kho tự động khi xác thực hóa đơn</t>
        </is>
      </c>
      <c r="F21" t="inlineStr">
        <is>
          <t>TC_SAL_008</t>
        </is>
      </c>
      <c r="G21" t="inlineStr">
        <is>
          <t>Xác minh tồn kho thực tế của PR001 và PR002 giảm đúng số lượng bán</t>
        </is>
      </c>
      <c r="H21" t="inlineStr">
        <is>
          <t>Auto</t>
        </is>
      </c>
      <c r="I21" t="inlineStr">
        <is>
          <t>Pass</t>
        </is>
      </c>
    </row>
    <row r="22">
      <c r="A22" t="inlineStr">
        <is>
          <t>UC-01</t>
        </is>
      </c>
      <c r="B22" t="inlineStr">
        <is>
          <t>Luồng chuẩn Báo giá -&gt; Hóa đơn (Sales)</t>
        </is>
      </c>
      <c r="C22" t="inlineStr">
        <is>
          <t>F-SAL-03</t>
        </is>
      </c>
      <c r="D22" t="inlineStr">
        <is>
          <t>Hóa đơn đặc biệt (Hủy, Credit note, Thanh toán một phần)</t>
        </is>
      </c>
      <c r="E22" t="inlineStr">
        <is>
          <t>Xử lý hóa đơn đặc biệt -- Hủy hóa đơn (Abandon/Cancel)</t>
        </is>
      </c>
      <c r="F22" t="inlineStr">
        <is>
          <t>TC_SAL_009</t>
        </is>
      </c>
      <c r="G22" t="inlineStr">
        <is>
          <t>Hủy hóa đơn khách hàng ở trạng thái Chưa thanh toán (Unpaid)</t>
        </is>
      </c>
      <c r="H22" t="inlineStr">
        <is>
          <t>Manual</t>
        </is>
      </c>
      <c r="I22" t="inlineStr">
        <is>
          <t>Not Run</t>
        </is>
      </c>
    </row>
    <row r="23">
      <c r="A23" t="inlineStr">
        <is>
          <t>UC-01</t>
        </is>
      </c>
      <c r="B23" t="inlineStr">
        <is>
          <t>Luồng chuẩn Báo giá -&gt; Hóa đơn (Sales)</t>
        </is>
      </c>
      <c r="C23" t="inlineStr">
        <is>
          <t>F-SAL-03</t>
        </is>
      </c>
      <c r="D23" t="inlineStr">
        <is>
          <t>Hóa đơn đặc biệt (Hủy, Credit note, Thanh toán một phần)</t>
        </is>
      </c>
      <c r="E23" t="inlineStr">
        <is>
          <t>Xử lý hóa đơn đặc biệt -- Hóa đơn hoàn tiền / điều chỉnh (Credit note)</t>
        </is>
      </c>
      <c r="F23" t="inlineStr">
        <is>
          <t>TC_SAL_010</t>
        </is>
      </c>
      <c r="G23" t="inlineStr">
        <is>
          <t>Tạo hóa đơn hoàn tiền (Credit note / Avoir) từ hóa đơn gốc đã xác thực</t>
        </is>
      </c>
      <c r="H23" t="inlineStr">
        <is>
          <t>Manual</t>
        </is>
      </c>
      <c r="I23" t="inlineStr">
        <is>
          <t>Not Run</t>
        </is>
      </c>
    </row>
    <row r="24">
      <c r="A24" t="inlineStr">
        <is>
          <t>UC-01</t>
        </is>
      </c>
      <c r="B24" t="inlineStr">
        <is>
          <t>Luồng chuẩn Báo giá -&gt; Hóa đơn (Sales)</t>
        </is>
      </c>
      <c r="C24" t="inlineStr">
        <is>
          <t>F-SAL-03</t>
        </is>
      </c>
      <c r="D24" t="inlineStr">
        <is>
          <t>Hóa đơn đặc biệt (Hủy, Credit note, Thanh toán một phần)</t>
        </is>
      </c>
      <c r="E24" t="inlineStr">
        <is>
          <t>Xử lý hóa đơn đặc biệt -- Thanh toán từng phần (Partial Payment)</t>
        </is>
      </c>
      <c r="F24" t="inlineStr">
        <is>
          <t>TC_SAL_011</t>
        </is>
      </c>
      <c r="G24" t="inlineStr">
        <is>
          <t>Ghi nhận thanh toán đợt 1 (một phần số tiền) cho hóa đơn chưa thanh toán</t>
        </is>
      </c>
      <c r="H24" t="inlineStr">
        <is>
          <t>Manual</t>
        </is>
      </c>
      <c r="I24" t="inlineStr">
        <is>
          <t>Not Run</t>
        </is>
      </c>
    </row>
    <row r="25">
      <c r="A25" t="inlineStr">
        <is>
          <t>UC-01</t>
        </is>
      </c>
      <c r="B25" t="inlineStr">
        <is>
          <t>Luồng chuẩn Báo giá -&gt; Hóa đơn (Sales)</t>
        </is>
      </c>
      <c r="C25" t="inlineStr">
        <is>
          <t>F-SAL-03</t>
        </is>
      </c>
      <c r="D25" t="inlineStr">
        <is>
          <t>Hóa đơn đặc biệt (Hủy, Credit note, Thanh toán một phần)</t>
        </is>
      </c>
      <c r="E25" t="inlineStr">
        <is>
          <t>Xử lý hóa đơn đặc biệt -- Thanh toán hoàn tất (Full Payment &amp; Close)</t>
        </is>
      </c>
      <c r="F25" t="inlineStr">
        <is>
          <t>TC_SAL_012</t>
        </is>
      </c>
      <c r="G25" t="inlineStr">
        <is>
          <t>Ghi nhận thanh toán đợt 2 đủ số tiền còn lại và đóng hóa đơn thành Paid</t>
        </is>
      </c>
      <c r="H25" t="inlineStr">
        <is>
          <t>Manual</t>
        </is>
      </c>
      <c r="I25" t="inlineStr">
        <is>
          <t>Not Run</t>
        </is>
      </c>
    </row>
    <row r="26">
      <c r="A26" t="inlineStr">
        <is>
          <t>UC-03</t>
        </is>
      </c>
      <c r="B26" t="inlineStr">
        <is>
          <t>Quản lý Kho &amp; Tồn kho (Stock)</t>
        </is>
      </c>
      <c r="C26" t="inlineStr">
        <is>
          <t>F-STK-02</t>
        </is>
      </c>
      <c r="D26" t="inlineStr">
        <is>
          <t>Điều chỉnh tồn kho thủ công (Stock Correction)</t>
        </is>
      </c>
      <c r="E26" t="inlineStr">
        <is>
          <t>Điều chỉnh tồn kho thủ công (Stock Correction)</t>
        </is>
      </c>
      <c r="F26" t="inlineStr">
        <is>
          <t>TC_STK_001</t>
        </is>
      </c>
      <c r="G26" t="inlineStr">
        <is>
          <t>Điều chỉnh tăng tồn kho thủ công (Stock Increase Correction) cho sản phẩm PR002</t>
        </is>
      </c>
      <c r="H26" t="inlineStr">
        <is>
          <t>Manual</t>
        </is>
      </c>
      <c r="I26" t="inlineStr">
        <is>
          <t>Not Run</t>
        </is>
      </c>
    </row>
    <row r="27">
      <c r="A27" t="inlineStr">
        <is>
          <t>UC-03</t>
        </is>
      </c>
      <c r="B27" t="inlineStr">
        <is>
          <t>Quản lý Kho &amp; Tồn kho (Stock)</t>
        </is>
      </c>
      <c r="C27" t="inlineStr">
        <is>
          <t>F-STK-02</t>
        </is>
      </c>
      <c r="D27" t="inlineStr">
        <is>
          <t>Điều chỉnh tồn kho thủ công (Stock Correction)</t>
        </is>
      </c>
      <c r="E27" t="inlineStr">
        <is>
          <t>Điều chỉnh tồn kho thủ công (Stock Correction)</t>
        </is>
      </c>
      <c r="F27" t="inlineStr">
        <is>
          <t>TC_STK_002</t>
        </is>
      </c>
      <c r="G27" t="inlineStr">
        <is>
          <t>Điều chỉnh giảm tồn kho thủ công (Stock Decrease Correction) do hàng hỏng</t>
        </is>
      </c>
      <c r="H27" t="inlineStr">
        <is>
          <t>Manual</t>
        </is>
      </c>
      <c r="I27" t="inlineStr">
        <is>
          <t>Not Run</t>
        </is>
      </c>
    </row>
    <row r="28">
      <c r="A28" t="inlineStr">
        <is>
          <t>UC-03</t>
        </is>
      </c>
      <c r="B28" t="inlineStr">
        <is>
          <t>Quản lý Kho &amp; Tồn kho (Stock)</t>
        </is>
      </c>
      <c r="C28" t="inlineStr">
        <is>
          <t>F-STK-02</t>
        </is>
      </c>
      <c r="D28" t="inlineStr">
        <is>
          <t>Điều chỉnh tồn kho thủ công (Stock Correction)</t>
        </is>
      </c>
      <c r="E28" t="inlineStr">
        <is>
          <t>Điều chỉnh tồn kho thủ công -- Xuất quá số lượng tồn (Negative Stock)</t>
        </is>
      </c>
      <c r="F28" t="inlineStr">
        <is>
          <t>TC_STK_003</t>
        </is>
      </c>
      <c r="G28" t="inlineStr">
        <is>
          <t>Khảo sát hành vi khi điều chỉnh giảm số lượng tồn kho vượt quá số lượng tồn hiện có</t>
        </is>
      </c>
      <c r="H28" t="inlineStr">
        <is>
          <t>Manual</t>
        </is>
      </c>
      <c r="I28" t="inlineStr">
        <is>
          <t>Not Run</t>
        </is>
      </c>
    </row>
    <row r="29">
      <c r="A29" t="inlineStr">
        <is>
          <t>UC-03</t>
        </is>
      </c>
      <c r="B29" t="inlineStr">
        <is>
          <t>Quản lý Kho &amp; Tồn kho (Stock)</t>
        </is>
      </c>
      <c r="C29" t="inlineStr">
        <is>
          <t>F-STK-03</t>
        </is>
      </c>
      <c r="D29" t="inlineStr">
        <is>
          <t>Cảnh báo tồn kho tối thiểu (Stock Limit &amp; Alert Threshold)</t>
        </is>
      </c>
      <c r="E29" t="inlineStr">
        <is>
          <t>Cảnh báo tồn kho tối thiểu (Stock Limit &amp; Alert Threshold)</t>
        </is>
      </c>
      <c r="F29" t="inlineStr">
        <is>
          <t>TC_STK_004</t>
        </is>
      </c>
      <c r="G29" t="inlineStr">
        <is>
          <t>Kiểm tra hiển thị cảnh báo khi tồn kho giảm xuống dưới ngưỡng tồn kho tối thiểu (Stock limit)</t>
        </is>
      </c>
      <c r="H29" t="inlineStr">
        <is>
          <t>Manual</t>
        </is>
      </c>
      <c r="I29" t="inlineStr">
        <is>
          <t>Not Run</t>
        </is>
      </c>
    </row>
    <row r="30">
      <c r="A30" t="inlineStr">
        <is>
          <t>UC-01</t>
        </is>
      </c>
      <c r="B30" t="inlineStr">
        <is>
          <t>Luồng chuẩn Báo giá -&gt; Hóa đơn (Sales)</t>
        </is>
      </c>
      <c r="C30" t="inlineStr">
        <is>
          <t>F-SAL-01</t>
        </is>
      </c>
      <c r="D30" t="inlineStr">
        <is>
          <t>Báo giá thương mại (Commercial Proposals)</t>
        </is>
      </c>
      <c r="E30" t="inlineStr">
        <is>
          <t>Báo giá có chiết khấu dòng (% Discount)</t>
        </is>
      </c>
      <c r="F30" t="inlineStr">
        <is>
          <t>TC_SAL_013</t>
        </is>
      </c>
      <c r="G30" t="inlineStr">
        <is>
          <t>Thêm sản phẩm PR001 (SL=2) với chiết khấu 10%, kiểm tra tính toán Total HT, VAT và Total TTC sau chiết khấu</t>
        </is>
      </c>
      <c r="H30" t="inlineStr">
        <is>
          <t>Auto</t>
        </is>
      </c>
      <c r="I30" t="inlineStr">
        <is>
          <t>Pass</t>
        </is>
      </c>
    </row>
    <row r="31">
      <c r="A31" t="inlineStr">
        <is>
          <t>UC-01</t>
        </is>
      </c>
      <c r="B31" t="inlineStr">
        <is>
          <t>Luồng chuẩn Báo giá -&gt; Hóa đơn (Sales)</t>
        </is>
      </c>
      <c r="C31" t="inlineStr">
        <is>
          <t>F-SAL-01</t>
        </is>
      </c>
      <c r="D31" t="inlineStr">
        <is>
          <t>Báo giá thương mại (Commercial Proposals)</t>
        </is>
      </c>
      <c r="E31" t="inlineStr">
        <is>
          <t>Đóng báo giá trạng thái Từ chối (Refused Proposal)</t>
        </is>
      </c>
      <c r="F31" t="inlineStr">
        <is>
          <t>TC_SAL_014</t>
        </is>
      </c>
      <c r="G31" t="inlineStr">
        <is>
          <t>Đóng báo giá trạng thái Refused, kiểm tra trạng thái cập nhật và không cho phép tạo hóa đơn</t>
        </is>
      </c>
      <c r="H31" t="inlineStr">
        <is>
          <t>Auto</t>
        </is>
      </c>
      <c r="I31" t="inlineStr">
        <is>
          <t>Pass</t>
        </is>
      </c>
    </row>
    <row r="32">
      <c r="A32" t="inlineStr">
        <is>
          <t>UC-01</t>
        </is>
      </c>
      <c r="B32" t="inlineStr">
        <is>
          <t>Luồng chuẩn Báo giá -&gt; Hóa đơn (Sales)</t>
        </is>
      </c>
      <c r="C32" t="inlineStr">
        <is>
          <t>F-SAL-02</t>
        </is>
      </c>
      <c r="D32" t="inlineStr">
        <is>
          <t>Hóa đơn bán hàng chuẩn (Proposal to Invoice)</t>
        </is>
      </c>
      <c r="E32" t="inlineStr">
        <is>
          <t>Ghi nhận Thanh toán toàn bộ hóa đơn (Full Payment 100%)</t>
        </is>
      </c>
      <c r="F32" t="inlineStr">
        <is>
          <t>TC_SAL_015</t>
        </is>
      </c>
      <c r="G32" t="inlineStr">
        <is>
          <t>Thanh toán 100% hóa đơn bán hàng, kiểm tra trạng thái chuyển sang Paid và số tiền còn lại bằng 0</t>
        </is>
      </c>
      <c r="H32" t="inlineStr">
        <is>
          <t>Auto</t>
        </is>
      </c>
      <c r="I32" t="inlineStr">
        <is>
          <t>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DolibarrTests</dc:creator>
  <dc:description xmlns:dc="http://purl.org/dc/elements/1.1/">This workbook has been created with EPPlus licensed to DolibarrTests under The Polyform Noncommercial License: See https://polyformproject.org/licenses/noncommercial/1.0.0</dc:description>
  <dcterms:created xmlns:dcterms="http://purl.org/dc/terms/" xmlns:xsi="http://www.w3.org/2001/XMLSchema-instance" xsi:type="dcterms:W3CDTF">2026-09-24T10:29:59Z</dcterms:created>
  <dcterms:modified xmlns:dcterms="http://purl.org/dc/terms/" xmlns:xsi="http://www.w3.org/2001/XMLSchema-instance" xsi:type="dcterms:W3CDTF">2026-10-07T17:34:23Z</dcterms:modified>
  <cp:lastModifiedBy>2273201081640 - NGÔ NGỌC THỦY - 71K28QHCC24</cp:lastModifiedBy>
  <cp:keywords>EPPlus noncommercial use</cp:keywords>
</cp:coreProperties>
</file>