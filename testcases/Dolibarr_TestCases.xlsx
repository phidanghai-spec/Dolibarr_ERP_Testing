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26C37B48-3399-47DE-80D6-B8BBB4745BD4}" xr6:coauthVersionLast="47" xr6:coauthVersionMax="47" xr10:uidLastSave="{00000000-0000-0000-0000-000000000000}"/>
  <bookViews>
    <workbookView xWindow="2090" yWindow="1060" windowWidth="14400" windowHeight="736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workbook>
</file>

<file path=xl/calcChain.xml><?xml version="1.0" encoding="utf-8"?>
<calcChain xmlns="http://schemas.openxmlformats.org/spreadsheetml/2006/main">
  <c r="I13" i="5" l="1"/>
  <c r="H13" i="5"/>
  <c r="G13" i="5"/>
  <c r="F13" i="5"/>
  <c r="E13" i="5"/>
  <c r="D13" i="5"/>
  <c r="J13" i="5" s="1"/>
  <c r="I12" i="5"/>
  <c r="H12" i="5"/>
  <c r="G12" i="5"/>
  <c r="F12" i="5"/>
  <c r="E12" i="5"/>
  <c r="D12" i="5"/>
  <c r="I11" i="5"/>
  <c r="I14" i="5" s="1"/>
  <c r="H11" i="5"/>
  <c r="H14" i="5" s="1"/>
  <c r="G11" i="5"/>
  <c r="F11" i="5"/>
  <c r="F14" i="5" s="1"/>
  <c r="E11" i="5"/>
  <c r="E14" i="5" s="1"/>
  <c r="D11" i="5"/>
  <c r="I9" i="5"/>
  <c r="H9" i="5"/>
  <c r="G9" i="5"/>
  <c r="J9" i="5" s="1"/>
  <c r="F9" i="5"/>
  <c r="E9" i="5"/>
  <c r="D9" i="5"/>
  <c r="I8" i="5"/>
  <c r="H8" i="5"/>
  <c r="G8" i="5"/>
  <c r="F8" i="5"/>
  <c r="E8" i="5"/>
  <c r="D8" i="5"/>
  <c r="I7" i="5"/>
  <c r="H7" i="5"/>
  <c r="H10" i="5" s="1"/>
  <c r="G7" i="5"/>
  <c r="G10" i="5" s="1"/>
  <c r="F7" i="5"/>
  <c r="F10" i="5" s="1"/>
  <c r="E7" i="5"/>
  <c r="D7" i="5"/>
  <c r="J5" i="5"/>
  <c r="I5" i="5"/>
  <c r="H5" i="5"/>
  <c r="G5" i="5"/>
  <c r="F5" i="5"/>
  <c r="E5" i="5"/>
  <c r="D5" i="5"/>
  <c r="I4" i="5"/>
  <c r="H4" i="5"/>
  <c r="G4" i="5"/>
  <c r="F4" i="5"/>
  <c r="E4" i="5"/>
  <c r="D4" i="5"/>
  <c r="J4" i="5" s="1"/>
  <c r="I3" i="5"/>
  <c r="H3" i="5"/>
  <c r="G3" i="5"/>
  <c r="F3" i="5"/>
  <c r="E3" i="5"/>
  <c r="D3" i="5"/>
  <c r="J3" i="5" s="1"/>
  <c r="I2" i="5"/>
  <c r="I6" i="5" s="1"/>
  <c r="H2" i="5"/>
  <c r="H6" i="5" s="1"/>
  <c r="H15" i="5" s="1"/>
  <c r="G2" i="5"/>
  <c r="G6" i="5" s="1"/>
  <c r="F2" i="5"/>
  <c r="E2" i="5"/>
  <c r="E6" i="5" s="1"/>
  <c r="D2" i="5"/>
  <c r="D6" i="5" s="1"/>
  <c r="J7" i="5" l="1"/>
  <c r="J12" i="5"/>
  <c r="E10" i="5"/>
  <c r="E15" i="5" s="1"/>
  <c r="I10" i="5"/>
  <c r="I15" i="5" s="1"/>
  <c r="G14" i="5"/>
  <c r="G15" i="5" s="1"/>
  <c r="F6" i="5"/>
  <c r="F15" i="5" s="1"/>
  <c r="J8" i="5"/>
  <c r="J11" i="5"/>
  <c r="J6" i="5"/>
  <c r="J2" i="5"/>
  <c r="D10" i="5"/>
  <c r="J10" i="5" s="1"/>
  <c r="D14" i="5"/>
  <c r="J14" i="5" s="1"/>
  <c r="D15" i="5" l="1"/>
  <c r="J15" i="5" s="1"/>
</calcChain>
</file>

<file path=xl/sharedStrings.xml><?xml version="1.0" encoding="utf-8"?>
<sst xmlns="http://schemas.openxmlformats.org/spreadsheetml/2006/main" count="925" uniqueCount="439">
  <si>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</si>
  <si>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</si>
  <si>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</si>
  <si>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</si>
  <si>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</si>
  <si>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</si>
  <si>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</si>
  <si>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</si>
  <si>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</si>
  <si>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</si>
  <si>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</si>
  <si>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</si>
  <si>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</si>
  <si>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</si>
  <si>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</si>
  <si>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</si>
  <si>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</si>
  <si>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</si>
  <si>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</si>
  <si>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</si>
  <si>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</si>
  <si>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</si>
  <si>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</si>
  <si>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</si>
  <si>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</si>
  <si>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</si>
  <si>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</si>
  <si>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</si>
  <si>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</si>
  <si>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</si>
  <si>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</si>
  <si>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</si>
  <si>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</si>
  <si>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2026-10-03</t>
  </si>
  <si>
    <t>evidence/automation/TC_CRM_005.png</t>
  </si>
  <si>
    <t>N = 128 (varchar(128) trong llx_societe.sql, maxlength=128 trong card.php).</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</si>
  <si>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</si>
  <si>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</si>
  <si>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</si>
  <si>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</si>
  <si>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</si>
  <si>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</si>
  <si>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</si>
  <si>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t>
  </si>
  <si>
    <t>Pass chỉ xác nhận phía browser cắt còn 128 ký tự (maxlength). Chưa kiểm tra server khi nhận 129 ký tự qua bypass JS — ngoài phạm vi vòng này.</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</si>
  <si>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</si>
  <si>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</si>
  <si>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</si>
  <si>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</si>
  <si>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</si>
  <si>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</si>
  <si>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</si>
  <si>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t>
  </si>
  <si>
    <t>Bien duoi EP ten: rong. Kiem tra validation bat buoc phia server.</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</si>
  <si>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</si>
  <si>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</si>
  <si>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</si>
  <si>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</si>
  <si>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</si>
  <si>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</si>
  <si>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</si>
  <si>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t>
  </si>
  <si>
    <t>Bien duoi BVA: 1 ky tu (minimum valid).</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</si>
  <si>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</si>
  <si>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</si>
  <si>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</si>
  <si>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</si>
  <si>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</si>
  <si>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</si>
  <si>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</si>
  <si>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</si>
  <si>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t>
  </si>
  <si>
    <t>EP ngoài biên: khoảng trắng thuần túy. Expected theo quan sát trong kiểm thử ngày 2026-10-03, chờ giảng viên xác nhận (chưa phải spec chính thức).</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</si>
  <si>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</si>
  <si>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</si>
  <si>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</si>
  <si>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</si>
  <si>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</si>
  <si>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</si>
  <si>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</si>
  <si>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</si>
  <si>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2026-10-05</t>
  </si>
  <si>
    <t>evidence/automation/TC_CRM_010_fail_bug001.png</t>
  </si>
  <si>
    <t>BUG_001</t>
  </si>
  <si>
    <t>Test tự động phát hiện BUG_001 (URL chuyển hướng chứa placeholder id=__ID__). Mục tiêu XSS đạt, phần dấu " chưa assert trong code và chờ giảng viên xác nhận spec.</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</si>
  <si>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</si>
  <si>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</si>
  <si>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</si>
  <si>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</si>
  <si>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</si>
  <si>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</si>
  <si>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</si>
  <si>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t>
  </si>
  <si>
    <t>Test data: 128 ky tu Unicode co dau (len=128). Kiem tra encoding UTF-8.</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</si>
  <si>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</si>
  <si>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</si>
  <si>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</si>
  <si>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</si>
  <si>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</si>
  <si>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</si>
  <si>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</si>
  <si>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</si>
  <si>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</si>
  <si>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</si>
  <si>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t>
  </si>
  <si>
    <t>Tai su dung CustomerDetailPage (ClickEdit, EnterName, ClickSave, GetDisplayedName).</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</si>
  <si>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</si>
  <si>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</si>
  <si>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</si>
  <si>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</si>
  <si>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</si>
  <si>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</si>
  <si>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</si>
  <si>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</si>
  <si>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</si>
  <si>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</si>
  <si>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t>
  </si>
  <si>
    <t>CustomerListPage.SearchByName va GetResultNames.</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</si>
  <si>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</si>
  <si>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</si>
  <si>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</si>
  <si>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</si>
  <si>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</si>
  <si>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</si>
  <si>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</si>
  <si>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</si>
  <si>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t>
  </si>
  <si>
    <t>Tim kiem theo substring trong Dolibarr list.</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</si>
  <si>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</si>
  <si>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</si>
  <si>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</si>
  <si>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</si>
  <si>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</si>
  <si>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</si>
  <si>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</si>
  <si>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</si>
  <si>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t>
  </si>
  <si>
    <t>Xu ly locator phan biet dong du lieu tr.oddeven va thong bao span.opacitymedium.</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</si>
  <si>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</si>
  <si>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</si>
  <si>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</si>
  <si>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</si>
  <si>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</si>
  <si>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</si>
  <si>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</si>
  <si>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</si>
  <si>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</si>
  <si>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t>
  </si>
  <si>
    <t>Xu ly nut Yes trong jQuery UI dialog buttonset, co co che don dep an toan bao ve du lieu nen.</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</si>
  <si>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</si>
  <si>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</si>
  <si>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</si>
  <si>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</si>
  <si>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</si>
  <si>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</si>
  <si>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</si>
  <si>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</si>
  <si>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</si>
  <si>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</si>
  <si>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</si>
  <si>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evidence/automation/sales/TC_SAL_001_CreateDraftProposal_ShouldSucceed_2026-10-05_08-32-58.png; docs/test_run_sales_20261005.log</t>
  </si>
  <si>
    <t>Mã tham chiếu PR... tự sinh, không hard-code</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</si>
  <si>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</si>
  <si>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</si>
  <si>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</si>
  <si>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</si>
  <si>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</si>
  <si>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</si>
  <si>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</si>
  <si>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</si>
  <si>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</si>
  <si>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evidence/automation/sales/TC_SAL_002_AddProductLine_ShouldCalculateCorrectTotal_2026-10-05_08-33-08.png; docs/test_run_sales_20261005.log</t>
  </si>
  <si>
    <t>Assert khớp số học cả 3 giá trị Total HT, VAT, Total TTC</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</si>
  <si>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</si>
  <si>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</si>
  <si>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</si>
  <si>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</si>
  <si>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</si>
  <si>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</si>
  <si>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</si>
  <si>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</si>
  <si>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evidence/automation/sales/TC_SAL_003_AddMultipleProducts_ShouldCalculateCumulativeTotal_2026-10-05_08-33-20.png; docs/test_run_sales_20261005.log</t>
  </si>
  <si>
    <t>Kiểm tra tính toán cộng dồn nhiều dòng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</si>
  <si>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</si>
  <si>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</si>
  <si>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</si>
  <si>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</si>
  <si>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</si>
  <si>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</si>
  <si>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</si>
  <si>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</si>
  <si>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</si>
  <si>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evidence/automation/sales/TC_SAL_004_ValidateProposal_ShouldChangeStatusToOpen_2026-10-05_08-33-35.png; docs/test_run_sales_20261005.log</t>
  </si>
  <si>
    <t>Kiểm tra chuyển đổi trạng thái chứng từ</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</si>
  <si>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</si>
  <si>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</si>
  <si>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</si>
  <si>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</si>
  <si>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</si>
  <si>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</si>
  <si>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</si>
  <si>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</si>
  <si>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evidence/automation/sales/TC_SAL_005_CloseProposalAsSigned_ShouldUpdateStatus_2026-10-05_08-33-58.png; docs/test_run_sales_20261005.log</t>
  </si>
  <si>
    <t>Chỉ báo giá Signed mới được sinh hóa đơn tự động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</si>
  <si>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</si>
  <si>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</si>
  <si>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</si>
  <si>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</si>
  <si>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</si>
  <si>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</si>
  <si>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</si>
  <si>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</si>
  <si>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</si>
  <si>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evidence/automation/sales/TC_SAL_006_CreateInvoiceFromSignedProposal_ShouldInheritTotal_2026-10-05_08-34-23.png; docs/test_run_sales_20261005.log</t>
  </si>
  <si>
    <t>Kế thừa dữ liệu liên thông phân hệ</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</si>
  <si>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</si>
  <si>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</si>
  <si>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</si>
  <si>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</si>
  <si>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</si>
  <si>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</si>
  <si>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</si>
  <si>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</si>
  <si>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evidence/automation/sales/TC_SAL_007_ValidateInvoice_ShouldChangeStatusToUnpaid_2026-10-05_08-34-54.png; docs/test_run_sales_20261005.log</t>
  </si>
  <si>
    <t>Mã hóa đơn chính thức IN... đọc từ giao diện</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</si>
  <si>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</si>
  <si>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</si>
  <si>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</si>
  <si>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</si>
  <si>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</si>
  <si>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</si>
  <si>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</si>
  <si>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</si>
  <si>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</si>
  <si>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</si>
  <si>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</si>
  <si>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evidence/automation/sales/TC_SAL_008_ValidateInvoice_ShouldDecreaseProductStock_2026-10-05_08-35-26.png; docs/test_run_sales_20261005.log</t>
  </si>
  <si>
    <t>Kiểm tra quy tắc Decrease real stocks on validation of customer invoice</t>
  </si>
  <si>
    <t>UC-01 / UC-03</t>
  </si>
  <si>
    <t>TC_SAL_009</t>
  </si>
  <si>
    <t>F-SAL-03</t>
  </si>
  <si>
    <t>Xử lý hóa đơn đặc biệt -- Hủy hóa đơn (Abandon/Cancel)</t>
  </si>
  <si>
    <t>Hủy hóa đơn khách hàng ở trạng thái Chưa thanh toán (Unpaid)</t>
  </si>
  <si>
    <t>ST</t>
  </si>
  <si>
    <t>Manual</t>
  </si>
  <si>
    <t>Hóa đơn bán hàng đang ở trạng thái Chưa thanh toán (Unpaid) và chưa ghi nhận khoản thanh toán nào.</t>
  </si>
  <si>
    <t>1. Mở menu Billing | Payment &gt; Invoices &gt; Chọn hóa đơn trạng thái Unpaid.
2. Nhấn nút "Cancel" / "Abandon" (Hủy hóa đơn).
3. Nhập lý do hủy: "Khách hàng đổi ý hủy đơn".
4. Nhấn Xác nhận (Confirm) trong hộp thoại.</t>
  </si>
  <si>
    <t>Lý do hủy: "Khách hàng đổi ý hủy đơn"</t>
  </si>
  <si>
    <t>Trạng thái hóa đơn chuyển từ Unpaid sang Canceled/Abandoned (Bị hủy). Badge trạng thái màu xám/gạch ngang. Nút ghi nhận thanh toán bị ẩn/vô hiệu hóa.</t>
  </si>
  <si>
    <t>Not Run</t>
  </si>
  <si>
    <t>Kiểm tra luồng hủy hóa đơn chưa thanh toán.</t>
  </si>
  <si>
    <t>Tự thiết kế</t>
  </si>
  <si>
    <t>TC_SAL_010</t>
  </si>
  <si>
    <t>Xử lý hóa đơn đặc biệt -- Hóa đơn hoàn tiền / điều chỉnh (Credit note)</t>
  </si>
  <si>
    <t>Tạo hóa đơn hoàn tiền (Credit note / Avoir) từ hóa đơn gốc đã xác thực</t>
  </si>
  <si>
    <t>Hóa đơn khách hàng gốc (Standard invoice) đã được xác thực (Validated) hoặc đã thanh toán (Paid).</t>
  </si>
  <si>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</si>
  <si>
    <t>Hóa đơn gốc: SI...; Sản phẩm hoàn: PR001, số lượng: 1</t>
  </si>
  <si>
    <t>Hóa đơn Credit note được tạo thành công với mã AV... (Avoir). Trạng thái chuyển sang Validated. Số tiền tổng mang giá trị âm hoặc đối trừ công nợ khách hàng.</t>
  </si>
  <si>
    <t>Kiểm tra quy trình tạo Credit note hoàn trả tiền/hàng trong Dolibarr.</t>
  </si>
  <si>
    <t>TC_SAL_011</t>
  </si>
  <si>
    <t>Xử lý hóa đơn đặc biệt -- Thanh toán từng phần (Partial Payment)</t>
  </si>
  <si>
    <t>Ghi nhận thanh toán đợt 1 (một phần số tiền) cho hóa đơn chưa thanh toán</t>
  </si>
  <si>
    <t>Hóa đơn khách hàng ở trạng thái Unpaid (Validated) với tổng tiền phải trả &gt; 0 (ví dụ tổng tiền TTC = 220,000 VND).</t>
  </si>
  <si>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</si>
  <si>
    <t>Tổng tiền hóa đơn: 220,000 VND. Số trả đợt 1: 100,000 VND. Phương thức: Cash.</t>
  </si>
  <si>
    <t>Khoản thanh toán đợt 1 được ghi nhận thành công. Trạng thái hóa đơn chuyển thành "Started" (Đã bắt đầu thanh toán / Partially paid). Số tiền còn nợ (Remaining to pay) hiển thị chính xác là 120,000 VND.</t>
  </si>
  <si>
    <t>Kiểm tra tính toán số dư công nợ giảm trừ chính xác khi thanh toán từng đợt.</t>
  </si>
  <si>
    <t>TC_SAL_012</t>
  </si>
  <si>
    <t>Xử lý hóa đơn đặc biệt -- Thanh toán hoàn tất (Full Payment &amp; Close)</t>
  </si>
  <si>
    <t>Ghi nhận thanh toán đợt 2 đủ số tiền còn lại và đóng hóa đơn thành Paid</t>
  </si>
  <si>
    <t>Hóa đơn đang ở trạng thái Started (Partially paid) với số nợ còn lại là 120,000 VND (kế thừa từ TC_SAL_011).</t>
  </si>
  <si>
    <t>1. Mở trang chi tiết hóa đơn đang có nợ 120,000 VND.
2. Nhấn "Enter payment".
3. Nhập số tiền đúng bằng số còn nợ: 120,000 VND.
4. Chọn phương thức thanh toán, chọn tài khoản quỹ/ngân hàng.
5. Nhấn Lưu.</t>
  </si>
  <si>
    <t>Số tiền thanh toán: 120,000 VND (bằng đúng số nợ còn lại).</t>
  </si>
  <si>
    <t>Hệ thống ghi nhận thanh toán thành công. Số tiền còn nợ về đúng 0 VND. Trạng thái hóa đơn tự động chuyển thành "Paid" (Đã thanh toán đủ). Badge hiển thị màu xanh lá cây.</t>
  </si>
  <si>
    <t>Kiểm tra hoàn tất thanh toán chuyển trạng thái sang Paid.</t>
  </si>
  <si>
    <t>TC_STK_001</t>
  </si>
  <si>
    <t>F-STK-02</t>
  </si>
  <si>
    <t>Điều chỉnh tồn kho thủ công (Stock Correction)</t>
  </si>
  <si>
    <t>Điều chỉnh tăng tồn kho thủ công (Stock Increase Correction) cho sản phẩm PR002</t>
  </si>
  <si>
    <t>Đã đăng nhập quyền thủ kho; Sản phẩm PR002 đang có tồn khả dụng trong kho KHO001 là N đơn vị.</t>
  </si>
  <si>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</si>
  <si>
    <t>Sản phẩm: PR002, Kho: KHO001, Thao tác: Tăng 10, Lý do: "Kiem ke thua"</t>
  </si>
  <si>
    <t>Tồn kho của PR002 tại KHO001 tăng thêm đúng 10 đơn vị (Tồn mới = N + 10). Tab "Stock movements" xuất hiện một dòng ghi nhận biến động +10 kèm ngày giờ và người thực hiện.</t>
  </si>
  <si>
    <t>Kiểm tra luồng nhập kho kiểm kê thủ công.</t>
  </si>
  <si>
    <t>TC_STK_002</t>
  </si>
  <si>
    <t>Điều chỉnh giảm tồn kho thủ công (Stock Decrease Correction) do hàng hỏng</t>
  </si>
  <si>
    <t>Sản phẩm PR002 đang có tồn khả dụng &gt;= 5 đơn vị tại kho KHO001.</t>
  </si>
  <si>
    <t>1. Mở tab "Stock" của sản phẩm PR002.
2. Nhấn nút "Correct stock".
3. Chọn thao tác "Remove" (Giảm) hoặc nhập số lượng: 5.
4. Nhập lý do: "Hàng hư hỏng bao bì cần hủy".
5. Nhấn Lưu.</t>
  </si>
  <si>
    <t>Sản phẩm: PR002, Kho: KHO001, Thao tác: Giảm 5, Lý do: "Hang hu hong"</t>
  </si>
  <si>
    <t>Tồn kho của PR002 tại KHO001 giảm đúng 5 đơn vị. Lịch sử biến động ghi nhận dòng xuất giảm -5 kèm lý do hư hỏng.</t>
  </si>
  <si>
    <t>Kiểm tra luồng xuất kho hao hụt kiểm kê.</t>
  </si>
  <si>
    <t>TC_STK_003</t>
  </si>
  <si>
    <t>Điều chỉnh tồn kho thủ công -- Xuất quá số lượng tồn (Negative Stock)</t>
  </si>
  <si>
    <t>Khảo sát hành vi khi điều chỉnh giảm số lượng tồn kho vượt quá số lượng tồn hiện có</t>
  </si>
  <si>
    <t>Sản phẩm PR004 có tồn hiện tại là 89 đơn vị tại kho KHO001.</t>
  </si>
  <si>
    <t>1. Mở tab "Stock" của sản phẩm PR004.
2. Nhấn "Correct stock".
3. Chọn thao tác "Remove" và nhập số lượng xuất: 100 (lớn hơn số tồn 89).
4. Nhập lý do: "Test xuat qua ton".
5. Nhấn Lưu.</t>
  </si>
  <si>
    <t>Sản phẩm: PR004, Tồn hiện tại: 89, Số lượng xuất: 100.</t>
  </si>
  <si>
    <t>Nếu cấu hình Dolibarr chặn tồn âm: Hệ thống báo lỗi và chặn không cho lưu. Nếu cấu hình cho phép tồn âm: Tồn kho giảm về -11 và hiển thị cảnh báo đỏ trên giao diện.</t>
  </si>
  <si>
    <t>Khảo sát hành vi rule tồn kho âm của Dolibarr 22.0.4.</t>
  </si>
  <si>
    <t>TC_STK_004</t>
  </si>
  <si>
    <t>F-STK-03</t>
  </si>
  <si>
    <t>Cảnh báo tồn kho tối thiểu (Stock Limit &amp; Alert Threshold)</t>
  </si>
  <si>
    <t>Kiểm tra hiển thị cảnh báo khi tồn kho giảm xuống dưới ngưỡng tồn kho tối thiểu (Stock limit)</t>
  </si>
  <si>
    <t>Sản phẩm PR003 có cấu hình trường "Stock limit for alert" (Ngưỡng cảnh báo tối thiểu), ví dụ Limit = 10. Tồn kho hiện tại đang lớn hơn 10.</t>
  </si>
  <si>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</si>
  <si>
    <t>Ngưỡng cảnh báo tối thiểu (Stock limit): 10, Số lượng tồn thực tế sau giảm: 8.</t>
  </si>
  <si>
    <t>Hệ thống hiển thị biểu tượng cảnh báo thiếu hụt tồn kho (màu đỏ/cam) hoặc sản phẩm PR003 xuất hiện trong danh sách "Cần bổ sung tồn kho" (Replenishment) với số lượng thiếu hụt so với tồn mong muốn.</t>
  </si>
  <si>
    <t>Kiểm tra cơ chế cảnh báo tự động khi chạm ngưỡng tồn kho tối thiểu.</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</si>
  <si>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</si>
  <si>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</si>
  <si>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</si>
  <si>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</si>
  <si>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</si>
  <si>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</si>
  <si>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</si>
  <si>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</si>
  <si>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</si>
  <si>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</si>
  <si>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</si>
  <si>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</si>
  <si>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</si>
  <si>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</si>
  <si>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</si>
  <si>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</si>
  <si>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</si>
  <si>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</si>
  <si>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</si>
  <si>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</si>
  <si>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</si>
  <si>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</si>
  <si>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</si>
  <si>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</si>
  <si>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</si>
  <si>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</si>
  <si>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</si>
  <si>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</si>
  <si>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</si>
  <si>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</si>
  <si>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</si>
  <si>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</si>
  <si>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</si>
  <si>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</si>
  <si>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</si>
  <si>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</si>
  <si>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</si>
  <si>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</si>
  <si>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</si>
  <si>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</si>
  <si>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</si>
  <si>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</si>
  <si>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</si>
  <si>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</si>
  <si>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</si>
  <si>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</si>
  <si>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</si>
  <si>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</si>
  <si>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</si>
  <si>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</si>
  <si>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</si>
  <si>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</si>
  <si>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</si>
  <si>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</si>
  <si>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</si>
  <si>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</si>
  <si>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</si>
  <si>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</si>
  <si>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</si>
  <si>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</si>
  <si>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</si>
  <si>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</si>
  <si>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</si>
  <si>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</si>
  <si>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</si>
  <si>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</si>
  <si>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</si>
  <si>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</si>
  <si>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</si>
  <si>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</si>
  <si>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</si>
  <si>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</si>
  <si>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</si>
  <si>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</si>
  <si>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</si>
  <si>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</si>
  <si>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</si>
  <si>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</si>
  <si>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</si>
  <si>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</si>
  <si>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</si>
  <si>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</si>
  <si>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</si>
  <si>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</si>
  <si>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</si>
  <si>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</si>
  <si>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</si>
  <si>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</si>
  <si>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</si>
  <si>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</si>
  <si>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</si>
  <si>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</si>
  <si>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</si>
  <si>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</si>
  <si>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</si>
  <si>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Tên chức năng</t>
  </si>
  <si>
    <t>Tổng số TC</t>
  </si>
  <si>
    <t>Passed</t>
  </si>
  <si>
    <t>Failed</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</si>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</sst>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0"/>
      <color rgb="FFFFFFFF"/>
      <name val="Calibri"/>
    </font>
    <font>
      <b/>
      <sz val="11"/>
      <name val="Calibri"/>
    </font>
  </fonts>
  <fills count="3">
    <fill>
      <patternFill patternType="none"/>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
  <sheetViews>
    <sheetView tabSelected="1" workbookViewId="0"/>
  </sheetViews>
  <sheetFormatPr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19" ht="28"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customHeight="1" x14ac:dyDescent="0.35">
      <c r="A2" s="2" t="s">
        <v>19</v>
      </c>
      <c r="B2" s="2" t="s">
        <v>20</v>
      </c>
      <c r="C2" s="2" t="s">
        <v>21</v>
      </c>
      <c r="D2" s="2" t="s">
        <v>22</v>
      </c>
      <c r="E2" s="2" t="s">
        <v>23</v>
      </c>
      <c r="F2" s="2" t="s">
        <v>24</v>
      </c>
      <c r="G2" s="2" t="s">
        <v>25</v>
      </c>
      <c r="H2" s="2" t="s">
        <v>26</v>
      </c>
      <c r="I2" s="2" t="s">
        <v>27</v>
      </c>
      <c r="J2" s="2" t="s">
        <v>28</v>
      </c>
      <c r="K2" s="2" t="s">
        <v>29</v>
      </c>
      <c r="L2" s="2" t="s">
        <v>30</v>
      </c>
      <c r="M2" s="2" t="s">
        <v>31</v>
      </c>
      <c r="N2" s="2" t="s">
        <v>32</v>
      </c>
      <c r="O2" s="2" t="s">
        <v>33</v>
      </c>
      <c r="P2" s="2" t="s">
        <v>34</v>
      </c>
      <c r="Q2" s="2"/>
      <c r="R2" s="2" t="s">
        <v>35</v>
      </c>
      <c r="S2" s="2" t="s">
        <v>36</v>
      </c>
    </row>
    <row r="3" spans="1:19" ht="100" customHeight="1" x14ac:dyDescent="0.35">
      <c r="A3" s="2" t="s">
        <v>37</v>
      </c>
      <c r="B3" s="2" t="s">
        <v>20</v>
      </c>
      <c r="C3" s="2" t="s">
        <v>21</v>
      </c>
      <c r="D3" s="2" t="s">
        <v>22</v>
      </c>
      <c r="E3" s="2" t="s">
        <v>38</v>
      </c>
      <c r="F3" s="2" t="s">
        <v>24</v>
      </c>
      <c r="G3" s="2" t="s">
        <v>25</v>
      </c>
      <c r="H3" s="2" t="s">
        <v>26</v>
      </c>
      <c r="I3" s="2" t="s">
        <v>27</v>
      </c>
      <c r="J3" s="2" t="s">
        <v>39</v>
      </c>
      <c r="K3" s="2" t="s">
        <v>40</v>
      </c>
      <c r="L3" s="2" t="s">
        <v>41</v>
      </c>
      <c r="M3" s="2" t="s">
        <v>42</v>
      </c>
      <c r="N3" s="2" t="s">
        <v>32</v>
      </c>
      <c r="O3" s="2" t="s">
        <v>33</v>
      </c>
      <c r="P3" s="2" t="s">
        <v>43</v>
      </c>
      <c r="Q3" s="2"/>
      <c r="R3" s="2" t="s">
        <v>44</v>
      </c>
      <c r="S3" s="2" t="s">
        <v>36</v>
      </c>
    </row>
    <row r="4" spans="1:19" ht="87" customHeight="1" x14ac:dyDescent="0.35">
      <c r="A4" s="2" t="s">
        <v>45</v>
      </c>
      <c r="B4" s="2" t="s">
        <v>20</v>
      </c>
      <c r="C4" s="2" t="s">
        <v>21</v>
      </c>
      <c r="D4" s="2" t="s">
        <v>46</v>
      </c>
      <c r="E4" s="2" t="s">
        <v>47</v>
      </c>
      <c r="F4" s="2" t="s">
        <v>48</v>
      </c>
      <c r="G4" s="2" t="s">
        <v>25</v>
      </c>
      <c r="H4" s="2" t="s">
        <v>26</v>
      </c>
      <c r="I4" s="2" t="s">
        <v>27</v>
      </c>
      <c r="J4" s="2" t="s">
        <v>49</v>
      </c>
      <c r="K4" s="2"/>
      <c r="L4" s="2" t="s">
        <v>50</v>
      </c>
      <c r="M4" s="2" t="s">
        <v>51</v>
      </c>
      <c r="N4" s="2" t="s">
        <v>32</v>
      </c>
      <c r="O4" s="2" t="s">
        <v>33</v>
      </c>
      <c r="P4" s="2" t="s">
        <v>52</v>
      </c>
      <c r="Q4" s="2"/>
      <c r="R4" s="2" t="s">
        <v>53</v>
      </c>
      <c r="S4" s="2" t="s">
        <v>36</v>
      </c>
    </row>
    <row r="5" spans="1:19" ht="87" customHeight="1" x14ac:dyDescent="0.35">
      <c r="A5" s="2" t="s">
        <v>54</v>
      </c>
      <c r="B5" s="2" t="s">
        <v>20</v>
      </c>
      <c r="C5" s="2" t="s">
        <v>21</v>
      </c>
      <c r="D5" s="2" t="s">
        <v>46</v>
      </c>
      <c r="E5" s="2" t="s">
        <v>55</v>
      </c>
      <c r="F5" s="2" t="s">
        <v>24</v>
      </c>
      <c r="G5" s="2" t="s">
        <v>56</v>
      </c>
      <c r="H5" s="2" t="s">
        <v>26</v>
      </c>
      <c r="I5" s="2" t="s">
        <v>27</v>
      </c>
      <c r="J5" s="2" t="s">
        <v>57</v>
      </c>
      <c r="K5" s="2" t="s">
        <v>58</v>
      </c>
      <c r="L5" s="2" t="s">
        <v>59</v>
      </c>
      <c r="M5" s="2" t="s">
        <v>60</v>
      </c>
      <c r="N5" s="2" t="s">
        <v>32</v>
      </c>
      <c r="O5" s="2" t="s">
        <v>33</v>
      </c>
      <c r="P5" s="2" t="s">
        <v>61</v>
      </c>
      <c r="Q5" s="2"/>
      <c r="R5" s="2" t="s">
        <v>62</v>
      </c>
      <c r="S5" s="2" t="s">
        <v>36</v>
      </c>
    </row>
    <row r="6" spans="1:19" ht="101.5" customHeight="1" x14ac:dyDescent="0.35">
      <c r="A6" s="2" t="s">
        <v>63</v>
      </c>
      <c r="B6" s="2" t="s">
        <v>20</v>
      </c>
      <c r="C6" s="2" t="s">
        <v>21</v>
      </c>
      <c r="D6" s="2" t="s">
        <v>64</v>
      </c>
      <c r="E6" s="2" t="s">
        <v>65</v>
      </c>
      <c r="F6" s="2" t="s">
        <v>66</v>
      </c>
      <c r="G6" s="2" t="s">
        <v>56</v>
      </c>
      <c r="H6" s="2" t="s">
        <v>26</v>
      </c>
      <c r="I6" s="2" t="s">
        <v>27</v>
      </c>
      <c r="J6" s="2" t="s">
        <v>67</v>
      </c>
      <c r="K6" s="2" t="s">
        <v>68</v>
      </c>
      <c r="L6" s="2" t="s">
        <v>69</v>
      </c>
      <c r="M6" s="2" t="s">
        <v>70</v>
      </c>
      <c r="N6" s="2" t="s">
        <v>32</v>
      </c>
      <c r="O6" s="2" t="s">
        <v>33</v>
      </c>
      <c r="P6" s="2" t="s">
        <v>71</v>
      </c>
      <c r="Q6" s="2"/>
      <c r="R6" s="2" t="s">
        <v>72</v>
      </c>
      <c r="S6" s="2" t="s">
        <v>36</v>
      </c>
    </row>
    <row r="7" spans="1:19" ht="203" customHeight="1" x14ac:dyDescent="0.35">
      <c r="A7" s="2" t="s">
        <v>73</v>
      </c>
      <c r="B7" s="2" t="s">
        <v>20</v>
      </c>
      <c r="C7" s="2" t="s">
        <v>21</v>
      </c>
      <c r="D7" s="2" t="s">
        <v>74</v>
      </c>
      <c r="E7" s="2" t="s">
        <v>75</v>
      </c>
      <c r="F7" s="2" t="s">
        <v>66</v>
      </c>
      <c r="G7" s="2" t="s">
        <v>25</v>
      </c>
      <c r="H7" s="2" t="s">
        <v>26</v>
      </c>
      <c r="I7" s="2" t="s">
        <v>27</v>
      </c>
      <c r="J7" s="2" t="s">
        <v>76</v>
      </c>
      <c r="K7" s="2" t="s">
        <v>77</v>
      </c>
      <c r="L7" s="2" t="s">
        <v>78</v>
      </c>
      <c r="M7" s="2" t="s">
        <v>79</v>
      </c>
      <c r="N7" s="2" t="s">
        <v>80</v>
      </c>
      <c r="O7" s="2" t="s">
        <v>81</v>
      </c>
      <c r="P7" s="2" t="s">
        <v>82</v>
      </c>
      <c r="Q7" s="2" t="s">
        <v>83</v>
      </c>
      <c r="R7" s="2" t="s">
        <v>84</v>
      </c>
      <c r="S7" s="2" t="s">
        <v>36</v>
      </c>
    </row>
    <row r="8" spans="1:19" ht="101.5" customHeight="1" x14ac:dyDescent="0.35">
      <c r="A8" s="2" t="s">
        <v>85</v>
      </c>
      <c r="B8" s="2" t="s">
        <v>20</v>
      </c>
      <c r="C8" s="2" t="s">
        <v>21</v>
      </c>
      <c r="D8" s="2" t="s">
        <v>86</v>
      </c>
      <c r="E8" s="2" t="s">
        <v>87</v>
      </c>
      <c r="F8" s="2" t="s">
        <v>48</v>
      </c>
      <c r="G8" s="2" t="s">
        <v>56</v>
      </c>
      <c r="H8" s="2" t="s">
        <v>26</v>
      </c>
      <c r="I8" s="2" t="s">
        <v>27</v>
      </c>
      <c r="J8" s="2" t="s">
        <v>88</v>
      </c>
      <c r="K8" s="2" t="s">
        <v>89</v>
      </c>
      <c r="L8" s="2" t="s">
        <v>90</v>
      </c>
      <c r="M8" s="2" t="s">
        <v>91</v>
      </c>
      <c r="N8" s="2" t="s">
        <v>32</v>
      </c>
      <c r="O8" s="2" t="s">
        <v>33</v>
      </c>
      <c r="P8" s="2" t="s">
        <v>92</v>
      </c>
      <c r="Q8" s="2"/>
      <c r="R8" s="2" t="s">
        <v>93</v>
      </c>
      <c r="S8" s="2" t="s">
        <v>36</v>
      </c>
    </row>
    <row r="9" spans="1:19" x14ac:dyDescent="0.35">
      <c r="A9" t="s">
        <v>94</v>
      </c>
      <c r="B9" t="s">
        <v>20</v>
      </c>
      <c r="C9" t="s">
        <v>95</v>
      </c>
      <c r="D9" t="s">
        <v>96</v>
      </c>
      <c r="E9" t="s">
        <v>97</v>
      </c>
      <c r="F9" t="s">
        <v>98</v>
      </c>
      <c r="G9" t="s">
        <v>25</v>
      </c>
      <c r="H9" t="s">
        <v>26</v>
      </c>
      <c r="I9" t="s">
        <v>99</v>
      </c>
      <c r="J9" t="s">
        <v>100</v>
      </c>
      <c r="K9" t="s">
        <v>101</v>
      </c>
      <c r="L9" t="s">
        <v>102</v>
      </c>
      <c r="M9" t="s">
        <v>103</v>
      </c>
      <c r="N9" t="s">
        <v>32</v>
      </c>
      <c r="O9" t="s">
        <v>33</v>
      </c>
      <c r="P9" t="s">
        <v>104</v>
      </c>
      <c r="R9" t="s">
        <v>105</v>
      </c>
      <c r="S9" t="s">
        <v>106</v>
      </c>
    </row>
    <row r="10" spans="1:19" x14ac:dyDescent="0.35">
      <c r="A10" t="s">
        <v>107</v>
      </c>
      <c r="B10" t="s">
        <v>20</v>
      </c>
      <c r="C10" t="s">
        <v>108</v>
      </c>
      <c r="D10" t="s">
        <v>109</v>
      </c>
      <c r="E10" t="s">
        <v>110</v>
      </c>
      <c r="F10" t="s">
        <v>66</v>
      </c>
      <c r="G10" t="s">
        <v>25</v>
      </c>
      <c r="H10" t="s">
        <v>26</v>
      </c>
      <c r="I10" t="s">
        <v>111</v>
      </c>
      <c r="J10" t="s">
        <v>112</v>
      </c>
      <c r="K10" t="s">
        <v>113</v>
      </c>
      <c r="L10" t="s">
        <v>114</v>
      </c>
      <c r="M10" t="s">
        <v>115</v>
      </c>
      <c r="N10" t="s">
        <v>32</v>
      </c>
      <c r="O10" t="s">
        <v>33</v>
      </c>
      <c r="P10" t="s">
        <v>116</v>
      </c>
      <c r="R10" t="s">
        <v>117</v>
      </c>
      <c r="S10" t="s">
        <v>106</v>
      </c>
    </row>
    <row r="11" spans="1:19" x14ac:dyDescent="0.35">
      <c r="A11" t="s">
        <v>118</v>
      </c>
      <c r="B11" t="s">
        <v>20</v>
      </c>
      <c r="C11" t="s">
        <v>108</v>
      </c>
      <c r="D11" t="s">
        <v>119</v>
      </c>
      <c r="E11" t="s">
        <v>120</v>
      </c>
      <c r="F11" t="s">
        <v>66</v>
      </c>
      <c r="G11" t="s">
        <v>56</v>
      </c>
      <c r="H11" t="s">
        <v>26</v>
      </c>
      <c r="I11" t="s">
        <v>121</v>
      </c>
      <c r="J11" t="s">
        <v>122</v>
      </c>
      <c r="K11" t="s">
        <v>123</v>
      </c>
      <c r="L11" t="s">
        <v>124</v>
      </c>
      <c r="M11" t="s">
        <v>125</v>
      </c>
      <c r="N11" t="s">
        <v>32</v>
      </c>
      <c r="O11" t="s">
        <v>33</v>
      </c>
      <c r="P11" t="s">
        <v>126</v>
      </c>
      <c r="R11" t="s">
        <v>127</v>
      </c>
      <c r="S11" t="s">
        <v>106</v>
      </c>
    </row>
    <row r="12" spans="1:19" x14ac:dyDescent="0.35">
      <c r="A12" t="s">
        <v>128</v>
      </c>
      <c r="B12" t="s">
        <v>20</v>
      </c>
      <c r="C12" t="s">
        <v>108</v>
      </c>
      <c r="D12" t="s">
        <v>129</v>
      </c>
      <c r="E12" t="s">
        <v>130</v>
      </c>
      <c r="F12" t="s">
        <v>48</v>
      </c>
      <c r="G12" t="s">
        <v>56</v>
      </c>
      <c r="H12" t="s">
        <v>26</v>
      </c>
      <c r="I12" t="s">
        <v>131</v>
      </c>
      <c r="J12" t="s">
        <v>132</v>
      </c>
      <c r="K12" t="s">
        <v>133</v>
      </c>
      <c r="L12" t="s">
        <v>134</v>
      </c>
      <c r="M12" t="s">
        <v>135</v>
      </c>
      <c r="N12" t="s">
        <v>32</v>
      </c>
      <c r="O12" t="s">
        <v>33</v>
      </c>
      <c r="P12" t="s">
        <v>136</v>
      </c>
      <c r="R12" t="s">
        <v>137</v>
      </c>
      <c r="S12" t="s">
        <v>106</v>
      </c>
    </row>
    <row r="13" spans="1:19" x14ac:dyDescent="0.35">
      <c r="A13" t="s">
        <v>138</v>
      </c>
      <c r="B13" t="s">
        <v>20</v>
      </c>
      <c r="C13" t="s">
        <v>139</v>
      </c>
      <c r="D13" t="s">
        <v>140</v>
      </c>
      <c r="E13" t="s">
        <v>141</v>
      </c>
      <c r="F13" t="s">
        <v>98</v>
      </c>
      <c r="G13" t="s">
        <v>25</v>
      </c>
      <c r="H13" t="s">
        <v>26</v>
      </c>
      <c r="I13" t="s">
        <v>142</v>
      </c>
      <c r="J13" t="s">
        <v>143</v>
      </c>
      <c r="K13" t="s">
        <v>144</v>
      </c>
      <c r="L13" t="s">
        <v>145</v>
      </c>
      <c r="M13" t="s">
        <v>146</v>
      </c>
      <c r="N13" t="s">
        <v>32</v>
      </c>
      <c r="O13" t="s">
        <v>33</v>
      </c>
      <c r="P13" t="s">
        <v>147</v>
      </c>
      <c r="R13" t="s">
        <v>148</v>
      </c>
      <c r="S13" t="s">
        <v>106</v>
      </c>
    </row>
    <row r="14" spans="1:19" x14ac:dyDescent="0.35">
      <c r="A14" t="s">
        <v>149</v>
      </c>
      <c r="B14" t="s">
        <v>150</v>
      </c>
      <c r="C14" t="s">
        <v>151</v>
      </c>
      <c r="D14" t="s">
        <v>152</v>
      </c>
      <c r="E14" t="s">
        <v>153</v>
      </c>
      <c r="F14" t="s">
        <v>154</v>
      </c>
      <c r="G14" t="s">
        <v>25</v>
      </c>
      <c r="H14" t="s">
        <v>26</v>
      </c>
      <c r="I14" t="s">
        <v>155</v>
      </c>
      <c r="J14" t="s">
        <v>156</v>
      </c>
      <c r="K14" t="s">
        <v>157</v>
      </c>
      <c r="L14" t="s">
        <v>158</v>
      </c>
      <c r="M14" t="s">
        <v>159</v>
      </c>
      <c r="N14" t="s">
        <v>32</v>
      </c>
      <c r="P14" t="s">
        <v>160</v>
      </c>
      <c r="R14" t="s">
        <v>161</v>
      </c>
      <c r="S14" t="s">
        <v>162</v>
      </c>
    </row>
    <row r="15" spans="1:19" x14ac:dyDescent="0.35">
      <c r="A15" t="s">
        <v>163</v>
      </c>
      <c r="B15" t="s">
        <v>150</v>
      </c>
      <c r="C15" t="s">
        <v>151</v>
      </c>
      <c r="D15" t="s">
        <v>164</v>
      </c>
      <c r="E15" t="s">
        <v>165</v>
      </c>
      <c r="F15" t="s">
        <v>154</v>
      </c>
      <c r="G15" t="s">
        <v>25</v>
      </c>
      <c r="H15" t="s">
        <v>26</v>
      </c>
      <c r="I15" t="s">
        <v>166</v>
      </c>
      <c r="J15" t="s">
        <v>167</v>
      </c>
      <c r="K15" t="s">
        <v>168</v>
      </c>
      <c r="L15" t="s">
        <v>169</v>
      </c>
      <c r="M15" t="s">
        <v>170</v>
      </c>
      <c r="N15" t="s">
        <v>32</v>
      </c>
      <c r="P15" t="s">
        <v>171</v>
      </c>
      <c r="R15" t="s">
        <v>172</v>
      </c>
      <c r="S15" t="s">
        <v>162</v>
      </c>
    </row>
    <row r="16" spans="1:19" x14ac:dyDescent="0.35">
      <c r="A16" t="s">
        <v>173</v>
      </c>
      <c r="B16" t="s">
        <v>150</v>
      </c>
      <c r="C16" t="s">
        <v>151</v>
      </c>
      <c r="D16" t="s">
        <v>174</v>
      </c>
      <c r="E16" t="s">
        <v>175</v>
      </c>
      <c r="F16" t="s">
        <v>154</v>
      </c>
      <c r="G16" t="s">
        <v>25</v>
      </c>
      <c r="H16" t="s">
        <v>26</v>
      </c>
      <c r="I16" t="s">
        <v>176</v>
      </c>
      <c r="J16" t="s">
        <v>177</v>
      </c>
      <c r="K16" t="s">
        <v>178</v>
      </c>
      <c r="L16" t="s">
        <v>179</v>
      </c>
      <c r="M16" t="s">
        <v>180</v>
      </c>
      <c r="N16" t="s">
        <v>32</v>
      </c>
      <c r="P16" t="s">
        <v>181</v>
      </c>
      <c r="R16" t="s">
        <v>182</v>
      </c>
      <c r="S16" t="s">
        <v>162</v>
      </c>
    </row>
    <row r="17" spans="1:19" x14ac:dyDescent="0.35">
      <c r="A17" t="s">
        <v>183</v>
      </c>
      <c r="B17" t="s">
        <v>150</v>
      </c>
      <c r="C17" t="s">
        <v>151</v>
      </c>
      <c r="D17" t="s">
        <v>184</v>
      </c>
      <c r="E17" t="s">
        <v>185</v>
      </c>
      <c r="F17" t="s">
        <v>186</v>
      </c>
      <c r="G17" t="s">
        <v>25</v>
      </c>
      <c r="H17" t="s">
        <v>26</v>
      </c>
      <c r="I17" t="s">
        <v>187</v>
      </c>
      <c r="J17" t="s">
        <v>188</v>
      </c>
      <c r="K17" t="s">
        <v>189</v>
      </c>
      <c r="L17" t="s">
        <v>190</v>
      </c>
      <c r="M17" t="s">
        <v>191</v>
      </c>
      <c r="N17" t="s">
        <v>32</v>
      </c>
      <c r="P17" t="s">
        <v>192</v>
      </c>
      <c r="R17" t="s">
        <v>193</v>
      </c>
      <c r="S17" t="s">
        <v>162</v>
      </c>
    </row>
    <row r="18" spans="1:19" x14ac:dyDescent="0.35">
      <c r="A18" t="s">
        <v>194</v>
      </c>
      <c r="B18" t="s">
        <v>150</v>
      </c>
      <c r="C18" t="s">
        <v>151</v>
      </c>
      <c r="D18" t="s">
        <v>195</v>
      </c>
      <c r="E18" t="s">
        <v>196</v>
      </c>
      <c r="F18" t="s">
        <v>186</v>
      </c>
      <c r="G18" t="s">
        <v>25</v>
      </c>
      <c r="H18" t="s">
        <v>26</v>
      </c>
      <c r="I18" t="s">
        <v>197</v>
      </c>
      <c r="J18" t="s">
        <v>198</v>
      </c>
      <c r="K18" t="s">
        <v>199</v>
      </c>
      <c r="L18" t="s">
        <v>200</v>
      </c>
      <c r="M18" t="s">
        <v>201</v>
      </c>
      <c r="N18" t="s">
        <v>32</v>
      </c>
      <c r="P18" t="s">
        <v>202</v>
      </c>
      <c r="R18" t="s">
        <v>203</v>
      </c>
      <c r="S18" t="s">
        <v>162</v>
      </c>
    </row>
    <row r="19" spans="1:19" x14ac:dyDescent="0.35">
      <c r="A19" t="s">
        <v>204</v>
      </c>
      <c r="B19" t="s">
        <v>150</v>
      </c>
      <c r="C19" t="s">
        <v>205</v>
      </c>
      <c r="D19" t="s">
        <v>206</v>
      </c>
      <c r="E19" t="s">
        <v>207</v>
      </c>
      <c r="F19" t="s">
        <v>154</v>
      </c>
      <c r="G19" t="s">
        <v>25</v>
      </c>
      <c r="H19" t="s">
        <v>26</v>
      </c>
      <c r="I19" t="s">
        <v>208</v>
      </c>
      <c r="J19" t="s">
        <v>209</v>
      </c>
      <c r="K19" t="s">
        <v>210</v>
      </c>
      <c r="L19" t="s">
        <v>211</v>
      </c>
      <c r="M19" t="s">
        <v>212</v>
      </c>
      <c r="N19" t="s">
        <v>32</v>
      </c>
      <c r="P19" t="s">
        <v>213</v>
      </c>
      <c r="R19" t="s">
        <v>214</v>
      </c>
      <c r="S19" t="s">
        <v>162</v>
      </c>
    </row>
    <row r="20" spans="1:19" x14ac:dyDescent="0.35">
      <c r="A20" t="s">
        <v>215</v>
      </c>
      <c r="B20" t="s">
        <v>216</v>
      </c>
      <c r="C20" t="s">
        <v>205</v>
      </c>
      <c r="D20" t="s">
        <v>217</v>
      </c>
      <c r="E20" t="s">
        <v>218</v>
      </c>
      <c r="F20" t="s">
        <v>186</v>
      </c>
      <c r="G20" t="s">
        <v>25</v>
      </c>
      <c r="H20" t="s">
        <v>26</v>
      </c>
      <c r="I20" t="s">
        <v>219</v>
      </c>
      <c r="J20" t="s">
        <v>220</v>
      </c>
      <c r="K20" t="s">
        <v>189</v>
      </c>
      <c r="L20" t="s">
        <v>221</v>
      </c>
      <c r="M20" t="s">
        <v>222</v>
      </c>
      <c r="N20" t="s">
        <v>32</v>
      </c>
      <c r="P20" t="s">
        <v>223</v>
      </c>
      <c r="R20" t="s">
        <v>224</v>
      </c>
      <c r="S20" t="s">
        <v>162</v>
      </c>
    </row>
    <row r="21" spans="1:19" x14ac:dyDescent="0.35">
      <c r="A21" t="s">
        <v>225</v>
      </c>
      <c r="B21" t="s">
        <v>226</v>
      </c>
      <c r="C21" t="s">
        <v>227</v>
      </c>
      <c r="D21" t="s">
        <v>228</v>
      </c>
      <c r="E21" t="s">
        <v>229</v>
      </c>
      <c r="F21" t="s">
        <v>230</v>
      </c>
      <c r="G21" t="s">
        <v>25</v>
      </c>
      <c r="H21" t="s">
        <v>26</v>
      </c>
      <c r="I21" t="s">
        <v>231</v>
      </c>
      <c r="J21" t="s">
        <v>232</v>
      </c>
      <c r="K21" t="s">
        <v>233</v>
      </c>
      <c r="L21" t="s">
        <v>234</v>
      </c>
      <c r="M21" t="s">
        <v>235</v>
      </c>
      <c r="N21" t="s">
        <v>32</v>
      </c>
      <c r="P21" t="s">
        <v>236</v>
      </c>
      <c r="R21" t="s">
        <v>237</v>
      </c>
      <c r="S21" t="s">
        <v>238</v>
      </c>
    </row>
    <row r="22" spans="1:19" x14ac:dyDescent="0.35">
      <c r="A22" t="s">
        <v>239</v>
      </c>
      <c r="B22" t="s">
        <v>150</v>
      </c>
      <c r="C22" t="s">
        <v>240</v>
      </c>
      <c r="D22" t="s">
        <v>241</v>
      </c>
      <c r="E22" t="s">
        <v>242</v>
      </c>
      <c r="F22" t="s">
        <v>243</v>
      </c>
      <c r="G22" t="s">
        <v>25</v>
      </c>
      <c r="H22" t="s">
        <v>244</v>
      </c>
      <c r="I22" t="s">
        <v>245</v>
      </c>
      <c r="J22" t="s">
        <v>246</v>
      </c>
      <c r="K22" t="s">
        <v>247</v>
      </c>
      <c r="L22" t="s">
        <v>248</v>
      </c>
      <c r="N22" t="s">
        <v>249</v>
      </c>
      <c r="R22" t="s">
        <v>250</v>
      </c>
      <c r="S22" t="s">
        <v>251</v>
      </c>
    </row>
    <row r="23" spans="1:19" x14ac:dyDescent="0.35">
      <c r="A23" t="s">
        <v>252</v>
      </c>
      <c r="B23" t="s">
        <v>150</v>
      </c>
      <c r="C23" t="s">
        <v>240</v>
      </c>
      <c r="D23" t="s">
        <v>253</v>
      </c>
      <c r="E23" t="s">
        <v>254</v>
      </c>
      <c r="F23" t="s">
        <v>243</v>
      </c>
      <c r="G23" t="s">
        <v>25</v>
      </c>
      <c r="H23" t="s">
        <v>244</v>
      </c>
      <c r="I23" t="s">
        <v>255</v>
      </c>
      <c r="J23" t="s">
        <v>256</v>
      </c>
      <c r="K23" t="s">
        <v>257</v>
      </c>
      <c r="L23" t="s">
        <v>258</v>
      </c>
      <c r="N23" t="s">
        <v>249</v>
      </c>
      <c r="R23" t="s">
        <v>259</v>
      </c>
      <c r="S23" t="s">
        <v>251</v>
      </c>
    </row>
    <row r="24" spans="1:19" x14ac:dyDescent="0.35">
      <c r="A24" t="s">
        <v>260</v>
      </c>
      <c r="B24" t="s">
        <v>150</v>
      </c>
      <c r="C24" t="s">
        <v>240</v>
      </c>
      <c r="D24" t="s">
        <v>261</v>
      </c>
      <c r="E24" t="s">
        <v>262</v>
      </c>
      <c r="F24" t="s">
        <v>24</v>
      </c>
      <c r="G24" t="s">
        <v>25</v>
      </c>
      <c r="H24" t="s">
        <v>244</v>
      </c>
      <c r="I24" t="s">
        <v>263</v>
      </c>
      <c r="J24" t="s">
        <v>264</v>
      </c>
      <c r="K24" t="s">
        <v>265</v>
      </c>
      <c r="L24" t="s">
        <v>266</v>
      </c>
      <c r="N24" t="s">
        <v>249</v>
      </c>
      <c r="R24" t="s">
        <v>267</v>
      </c>
      <c r="S24" t="s">
        <v>251</v>
      </c>
    </row>
    <row r="25" spans="1:19" x14ac:dyDescent="0.35">
      <c r="A25" t="s">
        <v>268</v>
      </c>
      <c r="B25" t="s">
        <v>150</v>
      </c>
      <c r="C25" t="s">
        <v>240</v>
      </c>
      <c r="D25" t="s">
        <v>269</v>
      </c>
      <c r="E25" t="s">
        <v>270</v>
      </c>
      <c r="F25" t="s">
        <v>243</v>
      </c>
      <c r="G25" t="s">
        <v>25</v>
      </c>
      <c r="H25" t="s">
        <v>244</v>
      </c>
      <c r="I25" t="s">
        <v>271</v>
      </c>
      <c r="J25" t="s">
        <v>272</v>
      </c>
      <c r="K25" t="s">
        <v>273</v>
      </c>
      <c r="L25" t="s">
        <v>274</v>
      </c>
      <c r="N25" t="s">
        <v>249</v>
      </c>
      <c r="R25" t="s">
        <v>275</v>
      </c>
      <c r="S25" t="s">
        <v>251</v>
      </c>
    </row>
    <row r="26" spans="1:19" x14ac:dyDescent="0.35">
      <c r="A26" t="s">
        <v>276</v>
      </c>
      <c r="B26" t="s">
        <v>226</v>
      </c>
      <c r="C26" t="s">
        <v>277</v>
      </c>
      <c r="D26" t="s">
        <v>278</v>
      </c>
      <c r="E26" t="s">
        <v>279</v>
      </c>
      <c r="F26" t="s">
        <v>66</v>
      </c>
      <c r="G26" t="s">
        <v>25</v>
      </c>
      <c r="H26" t="s">
        <v>244</v>
      </c>
      <c r="I26" t="s">
        <v>280</v>
      </c>
      <c r="J26" t="s">
        <v>281</v>
      </c>
      <c r="K26" t="s">
        <v>282</v>
      </c>
      <c r="L26" t="s">
        <v>283</v>
      </c>
      <c r="N26" t="s">
        <v>249</v>
      </c>
      <c r="R26" t="s">
        <v>284</v>
      </c>
      <c r="S26" t="s">
        <v>251</v>
      </c>
    </row>
    <row r="27" spans="1:19" x14ac:dyDescent="0.35">
      <c r="A27" t="s">
        <v>285</v>
      </c>
      <c r="B27" t="s">
        <v>226</v>
      </c>
      <c r="C27" t="s">
        <v>277</v>
      </c>
      <c r="D27" t="s">
        <v>278</v>
      </c>
      <c r="E27" t="s">
        <v>286</v>
      </c>
      <c r="F27" t="s">
        <v>66</v>
      </c>
      <c r="G27" t="s">
        <v>25</v>
      </c>
      <c r="H27" t="s">
        <v>244</v>
      </c>
      <c r="I27" t="s">
        <v>287</v>
      </c>
      <c r="J27" t="s">
        <v>288</v>
      </c>
      <c r="K27" t="s">
        <v>289</v>
      </c>
      <c r="L27" t="s">
        <v>290</v>
      </c>
      <c r="N27" t="s">
        <v>249</v>
      </c>
      <c r="R27" t="s">
        <v>291</v>
      </c>
      <c r="S27" t="s">
        <v>251</v>
      </c>
    </row>
    <row r="28" spans="1:19" x14ac:dyDescent="0.35">
      <c r="A28" t="s">
        <v>292</v>
      </c>
      <c r="B28" t="s">
        <v>226</v>
      </c>
      <c r="C28" t="s">
        <v>277</v>
      </c>
      <c r="D28" t="s">
        <v>293</v>
      </c>
      <c r="E28" t="s">
        <v>294</v>
      </c>
      <c r="F28" t="s">
        <v>24</v>
      </c>
      <c r="G28" t="s">
        <v>56</v>
      </c>
      <c r="H28" t="s">
        <v>244</v>
      </c>
      <c r="I28" t="s">
        <v>295</v>
      </c>
      <c r="J28" t="s">
        <v>296</v>
      </c>
      <c r="K28" t="s">
        <v>297</v>
      </c>
      <c r="L28" t="s">
        <v>298</v>
      </c>
      <c r="N28" t="s">
        <v>249</v>
      </c>
      <c r="R28" t="s">
        <v>299</v>
      </c>
      <c r="S28" t="s">
        <v>251</v>
      </c>
    </row>
    <row r="29" spans="1:19" x14ac:dyDescent="0.35">
      <c r="A29" t="s">
        <v>300</v>
      </c>
      <c r="B29" t="s">
        <v>226</v>
      </c>
      <c r="C29" t="s">
        <v>301</v>
      </c>
      <c r="D29" t="s">
        <v>302</v>
      </c>
      <c r="E29" t="s">
        <v>303</v>
      </c>
      <c r="F29" t="s">
        <v>24</v>
      </c>
      <c r="G29" t="s">
        <v>25</v>
      </c>
      <c r="H29" t="s">
        <v>244</v>
      </c>
      <c r="I29" t="s">
        <v>304</v>
      </c>
      <c r="J29" t="s">
        <v>305</v>
      </c>
      <c r="K29" t="s">
        <v>306</v>
      </c>
      <c r="L29" t="s">
        <v>307</v>
      </c>
      <c r="N29" t="s">
        <v>249</v>
      </c>
      <c r="R29" t="s">
        <v>308</v>
      </c>
      <c r="S29" t="s">
        <v>251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
  <sheetViews>
    <sheetView workbookViewId="0"/>
  </sheetViews>
  <sheetFormatPr defaultRowHeight="14.5" x14ac:dyDescent="0.35"/>
  <sheetData>
    <row r="1" spans="1:5" x14ac:dyDescent="0.35">
      <c r="A1" t="s">
        <v>309</v>
      </c>
      <c r="B1" t="s">
        <v>310</v>
      </c>
      <c r="C1" t="s">
        <v>311</v>
      </c>
      <c r="D1" t="s">
        <v>312</v>
      </c>
      <c r="E1" t="s">
        <v>313</v>
      </c>
    </row>
    <row r="2" spans="1:5" x14ac:dyDescent="0.35">
      <c r="A2" t="s">
        <v>19</v>
      </c>
      <c r="B2" t="s">
        <v>29</v>
      </c>
      <c r="C2" t="s">
        <v>314</v>
      </c>
      <c r="D2" t="s">
        <v>315</v>
      </c>
      <c r="E2" t="s">
        <v>316</v>
      </c>
    </row>
    <row r="3" spans="1:5" x14ac:dyDescent="0.35">
      <c r="A3" t="s">
        <v>37</v>
      </c>
      <c r="B3" t="s">
        <v>40</v>
      </c>
      <c r="C3" t="s">
        <v>314</v>
      </c>
      <c r="D3" t="s">
        <v>315</v>
      </c>
      <c r="E3" t="s">
        <v>317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workbookViewId="0"/>
  </sheetViews>
  <sheetFormatPr defaultRowHeight="14.5" x14ac:dyDescent="0.35"/>
  <sheetData>
    <row r="1" spans="1:14" x14ac:dyDescent="0.35">
      <c r="A1" t="s">
        <v>16</v>
      </c>
      <c r="B1" t="s">
        <v>318</v>
      </c>
      <c r="C1" t="s">
        <v>1</v>
      </c>
      <c r="D1" t="s">
        <v>319</v>
      </c>
      <c r="E1" t="s">
        <v>320</v>
      </c>
      <c r="F1" t="s">
        <v>321</v>
      </c>
      <c r="G1" t="s">
        <v>322</v>
      </c>
      <c r="H1" t="s">
        <v>323</v>
      </c>
      <c r="I1" t="s">
        <v>324</v>
      </c>
      <c r="J1" t="s">
        <v>325</v>
      </c>
      <c r="K1" t="s">
        <v>326</v>
      </c>
      <c r="L1" t="s">
        <v>327</v>
      </c>
      <c r="M1" t="s">
        <v>328</v>
      </c>
      <c r="N1" t="s">
        <v>329</v>
      </c>
    </row>
    <row r="2" spans="1:14" x14ac:dyDescent="0.35">
      <c r="A2" t="s">
        <v>83</v>
      </c>
      <c r="B2" t="s">
        <v>330</v>
      </c>
      <c r="C2" t="s">
        <v>20</v>
      </c>
      <c r="D2" t="s">
        <v>73</v>
      </c>
      <c r="E2" t="s">
        <v>331</v>
      </c>
      <c r="F2" t="s">
        <v>332</v>
      </c>
      <c r="G2" t="s">
        <v>333</v>
      </c>
      <c r="H2" t="s">
        <v>334</v>
      </c>
      <c r="I2" t="s">
        <v>335</v>
      </c>
      <c r="J2" t="s">
        <v>56</v>
      </c>
      <c r="K2" t="s">
        <v>336</v>
      </c>
      <c r="L2" t="s">
        <v>82</v>
      </c>
      <c r="M2" t="s">
        <v>81</v>
      </c>
      <c r="N2" t="s">
        <v>337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
  <sheetViews>
    <sheetView workbookViewId="0"/>
  </sheetViews>
  <sheetFormatPr defaultRowHeight="14.5" x14ac:dyDescent="0.35"/>
  <sheetData>
    <row r="1" spans="1:10" x14ac:dyDescent="0.35">
      <c r="A1" t="s">
        <v>338</v>
      </c>
      <c r="B1" t="s">
        <v>339</v>
      </c>
      <c r="C1" t="s">
        <v>340</v>
      </c>
      <c r="D1" t="s">
        <v>341</v>
      </c>
      <c r="E1" t="s">
        <v>342</v>
      </c>
      <c r="F1" t="s">
        <v>343</v>
      </c>
      <c r="G1" t="s">
        <v>344</v>
      </c>
      <c r="H1" t="s">
        <v>345</v>
      </c>
      <c r="I1" t="s">
        <v>346</v>
      </c>
      <c r="J1" t="s">
        <v>347</v>
      </c>
    </row>
    <row r="2" spans="1:10" x14ac:dyDescent="0.35">
      <c r="A2">
        <v>1</v>
      </c>
      <c r="B2" t="s">
        <v>348</v>
      </c>
      <c r="C2" t="s">
        <v>349</v>
      </c>
      <c r="D2" t="s">
        <v>350</v>
      </c>
      <c r="E2" t="s">
        <v>351</v>
      </c>
      <c r="F2" t="s">
        <v>352</v>
      </c>
      <c r="G2" t="s">
        <v>353</v>
      </c>
      <c r="H2" t="s">
        <v>354</v>
      </c>
      <c r="I2" t="s">
        <v>355</v>
      </c>
      <c r="J2" t="s">
        <v>356</v>
      </c>
    </row>
    <row r="3" spans="1:10" x14ac:dyDescent="0.35">
      <c r="A3">
        <v>2</v>
      </c>
      <c r="B3" t="s">
        <v>357</v>
      </c>
      <c r="C3" t="s">
        <v>358</v>
      </c>
      <c r="D3" t="s">
        <v>350</v>
      </c>
      <c r="E3" t="s">
        <v>359</v>
      </c>
      <c r="F3" t="s">
        <v>360</v>
      </c>
      <c r="G3" t="s">
        <v>361</v>
      </c>
      <c r="H3" t="s">
        <v>362</v>
      </c>
      <c r="I3" t="s">
        <v>363</v>
      </c>
      <c r="J3" t="s">
        <v>364</v>
      </c>
    </row>
    <row r="4" spans="1:10" x14ac:dyDescent="0.35">
      <c r="A4">
        <v>3</v>
      </c>
      <c r="B4" t="s">
        <v>357</v>
      </c>
      <c r="C4" t="s">
        <v>365</v>
      </c>
      <c r="D4" t="s">
        <v>366</v>
      </c>
      <c r="E4" t="s">
        <v>367</v>
      </c>
      <c r="F4" t="s">
        <v>368</v>
      </c>
      <c r="G4" t="s">
        <v>369</v>
      </c>
      <c r="H4" t="s">
        <v>362</v>
      </c>
      <c r="I4" t="s">
        <v>370</v>
      </c>
      <c r="J4" t="s">
        <v>371</v>
      </c>
    </row>
    <row r="5" spans="1:10" x14ac:dyDescent="0.35">
      <c r="A5">
        <v>4</v>
      </c>
      <c r="B5" t="s">
        <v>372</v>
      </c>
      <c r="C5" t="s">
        <v>365</v>
      </c>
      <c r="D5" t="s">
        <v>366</v>
      </c>
      <c r="E5" t="s">
        <v>373</v>
      </c>
      <c r="F5" t="s">
        <v>374</v>
      </c>
      <c r="G5" t="s">
        <v>375</v>
      </c>
      <c r="H5" t="s">
        <v>376</v>
      </c>
      <c r="I5" t="s">
        <v>377</v>
      </c>
      <c r="J5" t="s">
        <v>378</v>
      </c>
    </row>
    <row r="6" spans="1:10" x14ac:dyDescent="0.35">
      <c r="A6">
        <v>5</v>
      </c>
      <c r="B6" t="s">
        <v>33</v>
      </c>
      <c r="C6" t="s">
        <v>379</v>
      </c>
      <c r="D6" t="s">
        <v>366</v>
      </c>
      <c r="E6" t="s">
        <v>380</v>
      </c>
      <c r="F6" t="s">
        <v>381</v>
      </c>
      <c r="G6" t="s">
        <v>382</v>
      </c>
      <c r="H6" t="s">
        <v>362</v>
      </c>
      <c r="I6" t="s">
        <v>383</v>
      </c>
      <c r="J6" t="s">
        <v>384</v>
      </c>
    </row>
    <row r="7" spans="1:10" x14ac:dyDescent="0.35">
      <c r="A7">
        <v>6</v>
      </c>
      <c r="B7" t="s">
        <v>81</v>
      </c>
      <c r="C7" t="s">
        <v>385</v>
      </c>
      <c r="D7" t="s">
        <v>386</v>
      </c>
      <c r="E7" t="s">
        <v>387</v>
      </c>
      <c r="F7" t="s">
        <v>388</v>
      </c>
      <c r="G7" t="s">
        <v>389</v>
      </c>
      <c r="H7" t="s">
        <v>390</v>
      </c>
      <c r="I7" t="s">
        <v>391</v>
      </c>
      <c r="J7" t="s">
        <v>392</v>
      </c>
    </row>
    <row r="8" spans="1:10" x14ac:dyDescent="0.35">
      <c r="A8">
        <v>7</v>
      </c>
      <c r="B8" t="s">
        <v>81</v>
      </c>
      <c r="C8" t="s">
        <v>393</v>
      </c>
      <c r="D8" t="s">
        <v>394</v>
      </c>
      <c r="E8" t="s">
        <v>395</v>
      </c>
      <c r="F8" t="s">
        <v>396</v>
      </c>
    </row>
    <row r="9" spans="1:10" x14ac:dyDescent="0.35">
      <c r="A9">
        <v>8</v>
      </c>
      <c r="B9" t="s">
        <v>81</v>
      </c>
      <c r="C9" t="s">
        <v>379</v>
      </c>
      <c r="D9" t="s">
        <v>397</v>
      </c>
      <c r="E9" t="s">
        <v>398</v>
      </c>
      <c r="F9" t="s">
        <v>399</v>
      </c>
      <c r="G9" t="s">
        <v>400</v>
      </c>
      <c r="H9" t="s">
        <v>401</v>
      </c>
      <c r="I9" t="s">
        <v>402</v>
      </c>
      <c r="J9" t="s">
        <v>403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workbookViewId="0"/>
  </sheetViews>
  <sheetFormatPr defaultRowHeight="14.5" x14ac:dyDescent="0.35"/>
  <sheetData>
    <row r="1" spans="1:10" x14ac:dyDescent="0.35">
      <c r="A1" t="s">
        <v>1</v>
      </c>
      <c r="B1" t="s">
        <v>2</v>
      </c>
      <c r="C1" t="s">
        <v>404</v>
      </c>
      <c r="D1" t="s">
        <v>405</v>
      </c>
      <c r="E1" t="s">
        <v>26</v>
      </c>
      <c r="F1" t="s">
        <v>244</v>
      </c>
      <c r="G1" t="s">
        <v>406</v>
      </c>
      <c r="H1" t="s">
        <v>407</v>
      </c>
      <c r="I1" t="s">
        <v>249</v>
      </c>
      <c r="J1" t="s">
        <v>408</v>
      </c>
    </row>
    <row r="2" spans="1:10" x14ac:dyDescent="0.35">
      <c r="A2" t="s">
        <v>20</v>
      </c>
      <c r="B2" t="s">
        <v>21</v>
      </c>
      <c r="C2" t="s">
        <v>409</v>
      </c>
      <c r="D2">
        <f>COUNTIF('Test Cases'!$C:$C, B2)</f>
        <v>7</v>
      </c>
      <c r="E2">
        <f>COUNTIFS('Test Cases'!$C:$C, B2, 'Test Cases'!$H:$H, "Auto")</f>
        <v>7</v>
      </c>
      <c r="F2">
        <f>COUNTIFS('Test Cases'!$C:$C, B2, 'Test Cases'!$H:$H, "Manual")</f>
        <v>0</v>
      </c>
      <c r="G2">
        <f>COUNTIFS('Test Cases'!$C:$C, B2, 'Test Cases'!$N:$N, "Pass")</f>
        <v>6</v>
      </c>
      <c r="H2">
        <f>COUNTIFS('Test Cases'!$C:$C, B2, 'Test Cases'!$N:$N, "Fail")</f>
        <v>1</v>
      </c>
      <c r="I2">
        <f>COUNTIFS('Test Cases'!$C:$C, B2, 'Test Cases'!$N:$N, "Not Run")</f>
        <v>0</v>
      </c>
      <c r="J2" s="3">
        <f t="shared" ref="J2:J15" si="0">IF(D2&gt;0, G2/D2, 0)</f>
        <v>0.8571428571428571</v>
      </c>
    </row>
    <row r="3" spans="1:10" x14ac:dyDescent="0.35">
      <c r="A3" t="s">
        <v>20</v>
      </c>
      <c r="B3" t="s">
        <v>95</v>
      </c>
      <c r="C3" t="s">
        <v>410</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3">
        <f t="shared" si="0"/>
        <v>1</v>
      </c>
    </row>
    <row r="4" spans="1:10" x14ac:dyDescent="0.35">
      <c r="A4" t="s">
        <v>20</v>
      </c>
      <c r="B4" t="s">
        <v>108</v>
      </c>
      <c r="C4" t="s">
        <v>411</v>
      </c>
      <c r="D4">
        <f>COUNTIF('Test Cases'!$C:$C, B4)</f>
        <v>3</v>
      </c>
      <c r="E4">
        <f>COUNTIFS('Test Cases'!$C:$C, B4, 'Test Cases'!$H:$H, "Auto")</f>
        <v>3</v>
      </c>
      <c r="F4">
        <f>COUNTIFS('Test Cases'!$C:$C, B4, 'Test Cases'!$H:$H, "Manual")</f>
        <v>0</v>
      </c>
      <c r="G4">
        <f>COUNTIFS('Test Cases'!$C:$C, B4, 'Test Cases'!$N:$N, "Pass")</f>
        <v>3</v>
      </c>
      <c r="H4">
        <f>COUNTIFS('Test Cases'!$C:$C, B4, 'Test Cases'!$N:$N, "Fail")</f>
        <v>0</v>
      </c>
      <c r="I4">
        <f>COUNTIFS('Test Cases'!$C:$C, B4, 'Test Cases'!$N:$N, "Not Run")</f>
        <v>0</v>
      </c>
      <c r="J4" s="3">
        <f t="shared" si="0"/>
        <v>1</v>
      </c>
    </row>
    <row r="5" spans="1:10" x14ac:dyDescent="0.35">
      <c r="A5" t="s">
        <v>20</v>
      </c>
      <c r="B5" t="s">
        <v>139</v>
      </c>
      <c r="C5" t="s">
        <v>412</v>
      </c>
      <c r="D5">
        <f>COUNTIF('Test Cases'!$C:$C, B5)</f>
        <v>1</v>
      </c>
      <c r="E5">
        <f>COUNTIFS('Test Cases'!$C:$C, B5, 'Test Cases'!$H:$H, "Auto")</f>
        <v>1</v>
      </c>
      <c r="F5">
        <f>COUNTIFS('Test Cases'!$C:$C, B5, 'Test Cases'!$H:$H, "Manual")</f>
        <v>0</v>
      </c>
      <c r="G5">
        <f>COUNTIFS('Test Cases'!$C:$C, B5, 'Test Cases'!$N:$N, "Pass")</f>
        <v>1</v>
      </c>
      <c r="H5">
        <f>COUNTIFS('Test Cases'!$C:$C, B5, 'Test Cases'!$N:$N, "Fail")</f>
        <v>0</v>
      </c>
      <c r="I5">
        <f>COUNTIFS('Test Cases'!$C:$C, B5, 'Test Cases'!$N:$N, "Not Run")</f>
        <v>0</v>
      </c>
      <c r="J5" s="3">
        <f t="shared" si="0"/>
        <v>1</v>
      </c>
    </row>
    <row r="6" spans="1:10" x14ac:dyDescent="0.35">
      <c r="A6" s="4" t="s">
        <v>413</v>
      </c>
      <c r="B6" s="4" t="s">
        <v>414</v>
      </c>
      <c r="C6" s="4" t="s">
        <v>415</v>
      </c>
      <c r="D6" s="4">
        <f t="shared" ref="D6:I6" si="1">SUM(D2:D5)</f>
        <v>12</v>
      </c>
      <c r="E6" s="4">
        <f t="shared" si="1"/>
        <v>12</v>
      </c>
      <c r="F6" s="4">
        <f t="shared" si="1"/>
        <v>0</v>
      </c>
      <c r="G6" s="4">
        <f t="shared" si="1"/>
        <v>11</v>
      </c>
      <c r="H6" s="4">
        <f t="shared" si="1"/>
        <v>1</v>
      </c>
      <c r="I6" s="4">
        <f t="shared" si="1"/>
        <v>0</v>
      </c>
      <c r="J6" s="5">
        <f t="shared" si="0"/>
        <v>0.91666666666666663</v>
      </c>
    </row>
    <row r="7" spans="1:10" x14ac:dyDescent="0.35">
      <c r="A7" t="s">
        <v>416</v>
      </c>
      <c r="B7" t="s">
        <v>151</v>
      </c>
      <c r="C7" t="s">
        <v>417</v>
      </c>
      <c r="D7">
        <f>COUNTIF('Test Cases'!$C:$C, B7)</f>
        <v>5</v>
      </c>
      <c r="E7">
        <f>COUNTIFS('Test Cases'!$C:$C, B7, 'Test Cases'!$H:$H, "Auto")</f>
        <v>5</v>
      </c>
      <c r="F7">
        <f>COUNTIFS('Test Cases'!$C:$C, B7, 'Test Cases'!$H:$H, "Manual")</f>
        <v>0</v>
      </c>
      <c r="G7">
        <f>COUNTIFS('Test Cases'!$C:$C, B7, 'Test Cases'!$N:$N, "Pass")</f>
        <v>5</v>
      </c>
      <c r="H7">
        <f>COUNTIFS('Test Cases'!$C:$C, B7, 'Test Cases'!$N:$N, "Fail")</f>
        <v>0</v>
      </c>
      <c r="I7">
        <f>COUNTIFS('Test Cases'!$C:$C, B7, 'Test Cases'!$N:$N, "Not Run")</f>
        <v>0</v>
      </c>
      <c r="J7" s="3">
        <f t="shared" si="0"/>
        <v>1</v>
      </c>
    </row>
    <row r="8" spans="1:10" x14ac:dyDescent="0.35">
      <c r="A8" t="s">
        <v>416</v>
      </c>
      <c r="B8" t="s">
        <v>205</v>
      </c>
      <c r="C8" t="s">
        <v>418</v>
      </c>
      <c r="D8">
        <f>COUNTIF('Test Cases'!$C:$C, B8)</f>
        <v>2</v>
      </c>
      <c r="E8">
        <f>COUNTIFS('Test Cases'!$C:$C, B8, 'Test Cases'!$H:$H, "Auto")</f>
        <v>2</v>
      </c>
      <c r="F8">
        <f>COUNTIFS('Test Cases'!$C:$C, B8, 'Test Cases'!$H:$H, "Manual")</f>
        <v>0</v>
      </c>
      <c r="G8">
        <f>COUNTIFS('Test Cases'!$C:$C, B8, 'Test Cases'!$N:$N, "Pass")</f>
        <v>2</v>
      </c>
      <c r="H8">
        <f>COUNTIFS('Test Cases'!$C:$C, B8, 'Test Cases'!$N:$N, "Fail")</f>
        <v>0</v>
      </c>
      <c r="I8">
        <f>COUNTIFS('Test Cases'!$C:$C, B8, 'Test Cases'!$N:$N, "Not Run")</f>
        <v>0</v>
      </c>
      <c r="J8" s="3">
        <f t="shared" si="0"/>
        <v>1</v>
      </c>
    </row>
    <row r="9" spans="1:10" x14ac:dyDescent="0.35">
      <c r="A9" t="s">
        <v>416</v>
      </c>
      <c r="B9" t="s">
        <v>240</v>
      </c>
      <c r="C9" t="s">
        <v>419</v>
      </c>
      <c r="D9">
        <f>COUNTIF('Test Cases'!$C:$C, B9)</f>
        <v>4</v>
      </c>
      <c r="E9">
        <f>COUNTIFS('Test Cases'!$C:$C, B9, 'Test Cases'!$H:$H, "Auto")</f>
        <v>0</v>
      </c>
      <c r="F9">
        <f>COUNTIFS('Test Cases'!$C:$C, B9, 'Test Cases'!$H:$H, "Manual")</f>
        <v>4</v>
      </c>
      <c r="G9">
        <f>COUNTIFS('Test Cases'!$C:$C, B9, 'Test Cases'!$N:$N, "Pass")</f>
        <v>0</v>
      </c>
      <c r="H9">
        <f>COUNTIFS('Test Cases'!$C:$C, B9, 'Test Cases'!$N:$N, "Fail")</f>
        <v>0</v>
      </c>
      <c r="I9">
        <f>COUNTIFS('Test Cases'!$C:$C, B9, 'Test Cases'!$N:$N, "Not Run")</f>
        <v>4</v>
      </c>
      <c r="J9" s="3">
        <f t="shared" si="0"/>
        <v>0</v>
      </c>
    </row>
    <row r="10" spans="1:10" x14ac:dyDescent="0.35">
      <c r="A10" s="4" t="s">
        <v>420</v>
      </c>
      <c r="B10" s="4" t="s">
        <v>421</v>
      </c>
      <c r="C10" s="4" t="s">
        <v>422</v>
      </c>
      <c r="D10" s="4">
        <f t="shared" ref="D10:I10" si="2">SUM(D7:D9)</f>
        <v>11</v>
      </c>
      <c r="E10" s="4">
        <f t="shared" si="2"/>
        <v>7</v>
      </c>
      <c r="F10" s="4">
        <f t="shared" si="2"/>
        <v>4</v>
      </c>
      <c r="G10" s="4">
        <f t="shared" si="2"/>
        <v>7</v>
      </c>
      <c r="H10" s="4">
        <f t="shared" si="2"/>
        <v>0</v>
      </c>
      <c r="I10" s="4">
        <f t="shared" si="2"/>
        <v>4</v>
      </c>
      <c r="J10" s="5">
        <f t="shared" si="0"/>
        <v>0.63636363636363635</v>
      </c>
    </row>
    <row r="11" spans="1:10" x14ac:dyDescent="0.35">
      <c r="A11" t="s">
        <v>226</v>
      </c>
      <c r="B11" t="s">
        <v>227</v>
      </c>
      <c r="C11" t="s">
        <v>423</v>
      </c>
      <c r="D11">
        <f>COUNTIF('Test Cases'!$C:$C, B11)</f>
        <v>1</v>
      </c>
      <c r="E11">
        <f>COUNTIFS('Test Cases'!$C:$C, B11, 'Test Cases'!$H:$H, "Auto")</f>
        <v>1</v>
      </c>
      <c r="F11">
        <f>COUNTIFS('Test Cases'!$C:$C, B11, 'Test Cases'!$H:$H, "Manual")</f>
        <v>0</v>
      </c>
      <c r="G11">
        <f>COUNTIFS('Test Cases'!$C:$C, B11, 'Test Cases'!$N:$N, "Pass")</f>
        <v>1</v>
      </c>
      <c r="H11">
        <f>COUNTIFS('Test Cases'!$C:$C, B11, 'Test Cases'!$N:$N, "Fail")</f>
        <v>0</v>
      </c>
      <c r="I11">
        <f>COUNTIFS('Test Cases'!$C:$C, B11, 'Test Cases'!$N:$N, "Not Run")</f>
        <v>0</v>
      </c>
      <c r="J11" s="3">
        <f t="shared" si="0"/>
        <v>1</v>
      </c>
    </row>
    <row r="12" spans="1:10" x14ac:dyDescent="0.35">
      <c r="A12" t="s">
        <v>226</v>
      </c>
      <c r="B12" t="s">
        <v>277</v>
      </c>
      <c r="C12" t="s">
        <v>278</v>
      </c>
      <c r="D12">
        <f>COUNTIF('Test Cases'!$C:$C, B12)</f>
        <v>3</v>
      </c>
      <c r="E12">
        <f>COUNTIFS('Test Cases'!$C:$C, B12, 'Test Cases'!$H:$H, "Auto")</f>
        <v>0</v>
      </c>
      <c r="F12">
        <f>COUNTIFS('Test Cases'!$C:$C, B12, 'Test Cases'!$H:$H, "Manual")</f>
        <v>3</v>
      </c>
      <c r="G12">
        <f>COUNTIFS('Test Cases'!$C:$C, B12, 'Test Cases'!$N:$N, "Pass")</f>
        <v>0</v>
      </c>
      <c r="H12">
        <f>COUNTIFS('Test Cases'!$C:$C, B12, 'Test Cases'!$N:$N, "Fail")</f>
        <v>0</v>
      </c>
      <c r="I12">
        <f>COUNTIFS('Test Cases'!$C:$C, B12, 'Test Cases'!$N:$N, "Not Run")</f>
        <v>3</v>
      </c>
      <c r="J12" s="3">
        <f t="shared" si="0"/>
        <v>0</v>
      </c>
    </row>
    <row r="13" spans="1:10" x14ac:dyDescent="0.35">
      <c r="A13" t="s">
        <v>226</v>
      </c>
      <c r="B13" t="s">
        <v>301</v>
      </c>
      <c r="C13" t="s">
        <v>302</v>
      </c>
      <c r="D13">
        <f>COUNTIF('Test Cases'!$C:$C, B13)</f>
        <v>1</v>
      </c>
      <c r="E13">
        <f>COUNTIFS('Test Cases'!$C:$C, B13, 'Test Cases'!$H:$H, "Auto")</f>
        <v>0</v>
      </c>
      <c r="F13">
        <f>COUNTIFS('Test Cases'!$C:$C, B13, 'Test Cases'!$H:$H, "Manual")</f>
        <v>1</v>
      </c>
      <c r="G13">
        <f>COUNTIFS('Test Cases'!$C:$C, B13, 'Test Cases'!$N:$N, "Pass")</f>
        <v>0</v>
      </c>
      <c r="H13">
        <f>COUNTIFS('Test Cases'!$C:$C, B13, 'Test Cases'!$N:$N, "Fail")</f>
        <v>0</v>
      </c>
      <c r="I13">
        <f>COUNTIFS('Test Cases'!$C:$C, B13, 'Test Cases'!$N:$N, "Not Run")</f>
        <v>1</v>
      </c>
      <c r="J13" s="3">
        <f t="shared" si="0"/>
        <v>0</v>
      </c>
    </row>
    <row r="14" spans="1:10" x14ac:dyDescent="0.35">
      <c r="A14" s="4" t="s">
        <v>424</v>
      </c>
      <c r="B14" s="4" t="s">
        <v>425</v>
      </c>
      <c r="C14" s="4" t="s">
        <v>426</v>
      </c>
      <c r="D14" s="4">
        <f t="shared" ref="D14:I14" si="3">SUM(D11:D13)</f>
        <v>5</v>
      </c>
      <c r="E14" s="4">
        <f t="shared" si="3"/>
        <v>1</v>
      </c>
      <c r="F14" s="4">
        <f t="shared" si="3"/>
        <v>4</v>
      </c>
      <c r="G14" s="4">
        <f t="shared" si="3"/>
        <v>1</v>
      </c>
      <c r="H14" s="4">
        <f t="shared" si="3"/>
        <v>0</v>
      </c>
      <c r="I14" s="4">
        <f t="shared" si="3"/>
        <v>4</v>
      </c>
      <c r="J14" s="5">
        <f t="shared" si="0"/>
        <v>0.2</v>
      </c>
    </row>
    <row r="15" spans="1:10" x14ac:dyDescent="0.35">
      <c r="A15" s="4" t="s">
        <v>427</v>
      </c>
      <c r="B15" s="4" t="s">
        <v>428</v>
      </c>
      <c r="C15" s="4" t="s">
        <v>429</v>
      </c>
      <c r="D15" s="4">
        <f t="shared" ref="D15:I15" si="4">D6+D10+D14</f>
        <v>28</v>
      </c>
      <c r="E15" s="4">
        <f t="shared" si="4"/>
        <v>20</v>
      </c>
      <c r="F15" s="4">
        <f t="shared" si="4"/>
        <v>8</v>
      </c>
      <c r="G15" s="4">
        <f t="shared" si="4"/>
        <v>19</v>
      </c>
      <c r="H15" s="4">
        <f t="shared" si="4"/>
        <v>1</v>
      </c>
      <c r="I15" s="4">
        <f t="shared" si="4"/>
        <v>8</v>
      </c>
      <c r="J15" s="5">
        <f t="shared" si="0"/>
        <v>0.6785714285714286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9"/>
  <sheetViews>
    <sheetView workbookViewId="0"/>
  </sheetViews>
  <sheetFormatPr defaultRowHeight="14.5" x14ac:dyDescent="0.35"/>
  <sheetData>
    <row r="1" spans="1:9" x14ac:dyDescent="0.35">
      <c r="A1" t="s">
        <v>430</v>
      </c>
      <c r="B1" t="s">
        <v>431</v>
      </c>
      <c r="C1" t="s">
        <v>2</v>
      </c>
      <c r="D1" t="s">
        <v>404</v>
      </c>
      <c r="E1" t="s">
        <v>3</v>
      </c>
      <c r="F1" t="s">
        <v>0</v>
      </c>
      <c r="G1" t="s">
        <v>432</v>
      </c>
      <c r="H1" t="s">
        <v>433</v>
      </c>
      <c r="I1" t="s">
        <v>326</v>
      </c>
    </row>
    <row r="2" spans="1:9" x14ac:dyDescent="0.35">
      <c r="A2" t="s">
        <v>434</v>
      </c>
      <c r="B2" t="s">
        <v>435</v>
      </c>
      <c r="C2" t="s">
        <v>21</v>
      </c>
      <c r="D2" t="s">
        <v>409</v>
      </c>
      <c r="E2" t="s">
        <v>22</v>
      </c>
      <c r="F2" t="s">
        <v>19</v>
      </c>
      <c r="G2" t="s">
        <v>23</v>
      </c>
      <c r="H2" t="s">
        <v>26</v>
      </c>
      <c r="I2" t="s">
        <v>32</v>
      </c>
    </row>
    <row r="3" spans="1:9" x14ac:dyDescent="0.35">
      <c r="A3" t="s">
        <v>434</v>
      </c>
      <c r="B3" t="s">
        <v>435</v>
      </c>
      <c r="C3" t="s">
        <v>21</v>
      </c>
      <c r="D3" t="s">
        <v>409</v>
      </c>
      <c r="E3" t="s">
        <v>22</v>
      </c>
      <c r="F3" t="s">
        <v>37</v>
      </c>
      <c r="G3" t="s">
        <v>38</v>
      </c>
      <c r="H3" t="s">
        <v>26</v>
      </c>
      <c r="I3" t="s">
        <v>32</v>
      </c>
    </row>
    <row r="4" spans="1:9" x14ac:dyDescent="0.35">
      <c r="A4" t="s">
        <v>434</v>
      </c>
      <c r="B4" t="s">
        <v>435</v>
      </c>
      <c r="C4" t="s">
        <v>21</v>
      </c>
      <c r="D4" t="s">
        <v>409</v>
      </c>
      <c r="E4" t="s">
        <v>46</v>
      </c>
      <c r="F4" t="s">
        <v>45</v>
      </c>
      <c r="G4" t="s">
        <v>47</v>
      </c>
      <c r="H4" t="s">
        <v>26</v>
      </c>
      <c r="I4" t="s">
        <v>32</v>
      </c>
    </row>
    <row r="5" spans="1:9" x14ac:dyDescent="0.35">
      <c r="A5" t="s">
        <v>434</v>
      </c>
      <c r="B5" t="s">
        <v>435</v>
      </c>
      <c r="C5" t="s">
        <v>21</v>
      </c>
      <c r="D5" t="s">
        <v>409</v>
      </c>
      <c r="E5" t="s">
        <v>46</v>
      </c>
      <c r="F5" t="s">
        <v>54</v>
      </c>
      <c r="G5" t="s">
        <v>55</v>
      </c>
      <c r="H5" t="s">
        <v>26</v>
      </c>
      <c r="I5" t="s">
        <v>32</v>
      </c>
    </row>
    <row r="6" spans="1:9" x14ac:dyDescent="0.35">
      <c r="A6" t="s">
        <v>434</v>
      </c>
      <c r="B6" t="s">
        <v>435</v>
      </c>
      <c r="C6" t="s">
        <v>21</v>
      </c>
      <c r="D6" t="s">
        <v>409</v>
      </c>
      <c r="E6" t="s">
        <v>64</v>
      </c>
      <c r="F6" t="s">
        <v>63</v>
      </c>
      <c r="G6" t="s">
        <v>65</v>
      </c>
      <c r="H6" t="s">
        <v>26</v>
      </c>
      <c r="I6" t="s">
        <v>32</v>
      </c>
    </row>
    <row r="7" spans="1:9" x14ac:dyDescent="0.35">
      <c r="A7" t="s">
        <v>434</v>
      </c>
      <c r="B7" t="s">
        <v>435</v>
      </c>
      <c r="C7" t="s">
        <v>21</v>
      </c>
      <c r="D7" t="s">
        <v>409</v>
      </c>
      <c r="E7" t="s">
        <v>74</v>
      </c>
      <c r="F7" t="s">
        <v>73</v>
      </c>
      <c r="G7" t="s">
        <v>75</v>
      </c>
      <c r="H7" t="s">
        <v>26</v>
      </c>
      <c r="I7" t="s">
        <v>80</v>
      </c>
    </row>
    <row r="8" spans="1:9" x14ac:dyDescent="0.35">
      <c r="A8" t="s">
        <v>434</v>
      </c>
      <c r="B8" t="s">
        <v>435</v>
      </c>
      <c r="C8" t="s">
        <v>21</v>
      </c>
      <c r="D8" t="s">
        <v>409</v>
      </c>
      <c r="E8" t="s">
        <v>86</v>
      </c>
      <c r="F8" t="s">
        <v>85</v>
      </c>
      <c r="G8" t="s">
        <v>87</v>
      </c>
      <c r="H8" t="s">
        <v>26</v>
      </c>
      <c r="I8" t="s">
        <v>32</v>
      </c>
    </row>
    <row r="9" spans="1:9" x14ac:dyDescent="0.35">
      <c r="A9" t="s">
        <v>434</v>
      </c>
      <c r="B9" t="s">
        <v>435</v>
      </c>
      <c r="C9" t="s">
        <v>95</v>
      </c>
      <c r="D9" t="s">
        <v>410</v>
      </c>
      <c r="E9" t="s">
        <v>96</v>
      </c>
      <c r="F9" t="s">
        <v>94</v>
      </c>
      <c r="G9" t="s">
        <v>97</v>
      </c>
      <c r="H9" t="s">
        <v>26</v>
      </c>
      <c r="I9" t="s">
        <v>32</v>
      </c>
    </row>
    <row r="10" spans="1:9" x14ac:dyDescent="0.35">
      <c r="A10" t="s">
        <v>434</v>
      </c>
      <c r="B10" t="s">
        <v>435</v>
      </c>
      <c r="C10" t="s">
        <v>108</v>
      </c>
      <c r="D10" t="s">
        <v>411</v>
      </c>
      <c r="E10" t="s">
        <v>109</v>
      </c>
      <c r="F10" t="s">
        <v>107</v>
      </c>
      <c r="G10" t="s">
        <v>110</v>
      </c>
      <c r="H10" t="s">
        <v>26</v>
      </c>
      <c r="I10" t="s">
        <v>32</v>
      </c>
    </row>
    <row r="11" spans="1:9" x14ac:dyDescent="0.35">
      <c r="A11" t="s">
        <v>434</v>
      </c>
      <c r="B11" t="s">
        <v>435</v>
      </c>
      <c r="C11" t="s">
        <v>108</v>
      </c>
      <c r="D11" t="s">
        <v>411</v>
      </c>
      <c r="E11" t="s">
        <v>119</v>
      </c>
      <c r="F11" t="s">
        <v>118</v>
      </c>
      <c r="G11" t="s">
        <v>120</v>
      </c>
      <c r="H11" t="s">
        <v>26</v>
      </c>
      <c r="I11" t="s">
        <v>32</v>
      </c>
    </row>
    <row r="12" spans="1:9" x14ac:dyDescent="0.35">
      <c r="A12" t="s">
        <v>434</v>
      </c>
      <c r="B12" t="s">
        <v>435</v>
      </c>
      <c r="C12" t="s">
        <v>108</v>
      </c>
      <c r="D12" t="s">
        <v>411</v>
      </c>
      <c r="E12" t="s">
        <v>129</v>
      </c>
      <c r="F12" t="s">
        <v>128</v>
      </c>
      <c r="G12" t="s">
        <v>130</v>
      </c>
      <c r="H12" t="s">
        <v>26</v>
      </c>
      <c r="I12" t="s">
        <v>32</v>
      </c>
    </row>
    <row r="13" spans="1:9" x14ac:dyDescent="0.35">
      <c r="A13" t="s">
        <v>434</v>
      </c>
      <c r="B13" t="s">
        <v>435</v>
      </c>
      <c r="C13" t="s">
        <v>139</v>
      </c>
      <c r="D13" t="s">
        <v>412</v>
      </c>
      <c r="E13" t="s">
        <v>140</v>
      </c>
      <c r="F13" t="s">
        <v>138</v>
      </c>
      <c r="G13" t="s">
        <v>141</v>
      </c>
      <c r="H13" t="s">
        <v>26</v>
      </c>
      <c r="I13" t="s">
        <v>32</v>
      </c>
    </row>
    <row r="14" spans="1:9" x14ac:dyDescent="0.35">
      <c r="A14" t="s">
        <v>162</v>
      </c>
      <c r="B14" t="s">
        <v>436</v>
      </c>
      <c r="C14" t="s">
        <v>151</v>
      </c>
      <c r="D14" t="s">
        <v>417</v>
      </c>
      <c r="E14" t="s">
        <v>152</v>
      </c>
      <c r="F14" t="s">
        <v>149</v>
      </c>
      <c r="G14" t="s">
        <v>153</v>
      </c>
      <c r="H14" t="s">
        <v>26</v>
      </c>
      <c r="I14" t="s">
        <v>32</v>
      </c>
    </row>
    <row r="15" spans="1:9" x14ac:dyDescent="0.35">
      <c r="A15" t="s">
        <v>162</v>
      </c>
      <c r="B15" t="s">
        <v>436</v>
      </c>
      <c r="C15" t="s">
        <v>151</v>
      </c>
      <c r="D15" t="s">
        <v>417</v>
      </c>
      <c r="E15" t="s">
        <v>164</v>
      </c>
      <c r="F15" t="s">
        <v>163</v>
      </c>
      <c r="G15" t="s">
        <v>165</v>
      </c>
      <c r="H15" t="s">
        <v>26</v>
      </c>
      <c r="I15" t="s">
        <v>32</v>
      </c>
    </row>
    <row r="16" spans="1:9" x14ac:dyDescent="0.35">
      <c r="A16" t="s">
        <v>162</v>
      </c>
      <c r="B16" t="s">
        <v>436</v>
      </c>
      <c r="C16" t="s">
        <v>151</v>
      </c>
      <c r="D16" t="s">
        <v>417</v>
      </c>
      <c r="E16" t="s">
        <v>174</v>
      </c>
      <c r="F16" t="s">
        <v>173</v>
      </c>
      <c r="G16" t="s">
        <v>175</v>
      </c>
      <c r="H16" t="s">
        <v>26</v>
      </c>
      <c r="I16" t="s">
        <v>32</v>
      </c>
    </row>
    <row r="17" spans="1:9" x14ac:dyDescent="0.35">
      <c r="A17" t="s">
        <v>162</v>
      </c>
      <c r="B17" t="s">
        <v>436</v>
      </c>
      <c r="C17" t="s">
        <v>151</v>
      </c>
      <c r="D17" t="s">
        <v>417</v>
      </c>
      <c r="E17" t="s">
        <v>184</v>
      </c>
      <c r="F17" t="s">
        <v>183</v>
      </c>
      <c r="G17" t="s">
        <v>185</v>
      </c>
      <c r="H17" t="s">
        <v>26</v>
      </c>
      <c r="I17" t="s">
        <v>32</v>
      </c>
    </row>
    <row r="18" spans="1:9" x14ac:dyDescent="0.35">
      <c r="A18" t="s">
        <v>162</v>
      </c>
      <c r="B18" t="s">
        <v>436</v>
      </c>
      <c r="C18" t="s">
        <v>151</v>
      </c>
      <c r="D18" t="s">
        <v>417</v>
      </c>
      <c r="E18" t="s">
        <v>195</v>
      </c>
      <c r="F18" t="s">
        <v>194</v>
      </c>
      <c r="G18" t="s">
        <v>196</v>
      </c>
      <c r="H18" t="s">
        <v>26</v>
      </c>
      <c r="I18" t="s">
        <v>32</v>
      </c>
    </row>
    <row r="19" spans="1:9" x14ac:dyDescent="0.35">
      <c r="A19" t="s">
        <v>162</v>
      </c>
      <c r="B19" t="s">
        <v>436</v>
      </c>
      <c r="C19" t="s">
        <v>205</v>
      </c>
      <c r="D19" t="s">
        <v>418</v>
      </c>
      <c r="E19" t="s">
        <v>206</v>
      </c>
      <c r="F19" t="s">
        <v>204</v>
      </c>
      <c r="G19" t="s">
        <v>207</v>
      </c>
      <c r="H19" t="s">
        <v>26</v>
      </c>
      <c r="I19" t="s">
        <v>32</v>
      </c>
    </row>
    <row r="20" spans="1:9" x14ac:dyDescent="0.35">
      <c r="A20" t="s">
        <v>162</v>
      </c>
      <c r="B20" t="s">
        <v>436</v>
      </c>
      <c r="C20" t="s">
        <v>205</v>
      </c>
      <c r="D20" t="s">
        <v>418</v>
      </c>
      <c r="E20" t="s">
        <v>217</v>
      </c>
      <c r="F20" t="s">
        <v>215</v>
      </c>
      <c r="G20" t="s">
        <v>218</v>
      </c>
      <c r="H20" t="s">
        <v>26</v>
      </c>
      <c r="I20" t="s">
        <v>32</v>
      </c>
    </row>
    <row r="21" spans="1:9" x14ac:dyDescent="0.35">
      <c r="A21" t="s">
        <v>437</v>
      </c>
      <c r="B21" t="s">
        <v>438</v>
      </c>
      <c r="C21" t="s">
        <v>227</v>
      </c>
      <c r="D21" t="s">
        <v>423</v>
      </c>
      <c r="E21" t="s">
        <v>228</v>
      </c>
      <c r="F21" t="s">
        <v>225</v>
      </c>
      <c r="G21" t="s">
        <v>229</v>
      </c>
      <c r="H21" t="s">
        <v>26</v>
      </c>
      <c r="I21" t="s">
        <v>32</v>
      </c>
    </row>
    <row r="22" spans="1:9" x14ac:dyDescent="0.35">
      <c r="A22" t="s">
        <v>162</v>
      </c>
      <c r="B22" t="s">
        <v>436</v>
      </c>
      <c r="C22" t="s">
        <v>240</v>
      </c>
      <c r="D22" t="s">
        <v>419</v>
      </c>
      <c r="E22" t="s">
        <v>241</v>
      </c>
      <c r="F22" t="s">
        <v>239</v>
      </c>
      <c r="G22" t="s">
        <v>242</v>
      </c>
      <c r="H22" t="s">
        <v>244</v>
      </c>
      <c r="I22" t="s">
        <v>249</v>
      </c>
    </row>
    <row r="23" spans="1:9" x14ac:dyDescent="0.35">
      <c r="A23" t="s">
        <v>162</v>
      </c>
      <c r="B23" t="s">
        <v>436</v>
      </c>
      <c r="C23" t="s">
        <v>240</v>
      </c>
      <c r="D23" t="s">
        <v>419</v>
      </c>
      <c r="E23" t="s">
        <v>253</v>
      </c>
      <c r="F23" t="s">
        <v>252</v>
      </c>
      <c r="G23" t="s">
        <v>254</v>
      </c>
      <c r="H23" t="s">
        <v>244</v>
      </c>
      <c r="I23" t="s">
        <v>249</v>
      </c>
    </row>
    <row r="24" spans="1:9" x14ac:dyDescent="0.35">
      <c r="A24" t="s">
        <v>162</v>
      </c>
      <c r="B24" t="s">
        <v>436</v>
      </c>
      <c r="C24" t="s">
        <v>240</v>
      </c>
      <c r="D24" t="s">
        <v>419</v>
      </c>
      <c r="E24" t="s">
        <v>261</v>
      </c>
      <c r="F24" t="s">
        <v>260</v>
      </c>
      <c r="G24" t="s">
        <v>262</v>
      </c>
      <c r="H24" t="s">
        <v>244</v>
      </c>
      <c r="I24" t="s">
        <v>249</v>
      </c>
    </row>
    <row r="25" spans="1:9" x14ac:dyDescent="0.35">
      <c r="A25" t="s">
        <v>162</v>
      </c>
      <c r="B25" t="s">
        <v>436</v>
      </c>
      <c r="C25" t="s">
        <v>240</v>
      </c>
      <c r="D25" t="s">
        <v>419</v>
      </c>
      <c r="E25" t="s">
        <v>269</v>
      </c>
      <c r="F25" t="s">
        <v>268</v>
      </c>
      <c r="G25" t="s">
        <v>270</v>
      </c>
      <c r="H25" t="s">
        <v>244</v>
      </c>
      <c r="I25" t="s">
        <v>249</v>
      </c>
    </row>
    <row r="26" spans="1:9" x14ac:dyDescent="0.35">
      <c r="A26" t="s">
        <v>437</v>
      </c>
      <c r="B26" t="s">
        <v>438</v>
      </c>
      <c r="C26" t="s">
        <v>277</v>
      </c>
      <c r="D26" t="s">
        <v>278</v>
      </c>
      <c r="E26" t="s">
        <v>278</v>
      </c>
      <c r="F26" t="s">
        <v>276</v>
      </c>
      <c r="G26" t="s">
        <v>279</v>
      </c>
      <c r="H26" t="s">
        <v>244</v>
      </c>
      <c r="I26" t="s">
        <v>249</v>
      </c>
    </row>
    <row r="27" spans="1:9" x14ac:dyDescent="0.35">
      <c r="A27" t="s">
        <v>437</v>
      </c>
      <c r="B27" t="s">
        <v>438</v>
      </c>
      <c r="C27" t="s">
        <v>277</v>
      </c>
      <c r="D27" t="s">
        <v>278</v>
      </c>
      <c r="E27" t="s">
        <v>278</v>
      </c>
      <c r="F27" t="s">
        <v>285</v>
      </c>
      <c r="G27" t="s">
        <v>286</v>
      </c>
      <c r="H27" t="s">
        <v>244</v>
      </c>
      <c r="I27" t="s">
        <v>249</v>
      </c>
    </row>
    <row r="28" spans="1:9" x14ac:dyDescent="0.35">
      <c r="A28" t="s">
        <v>437</v>
      </c>
      <c r="B28" t="s">
        <v>438</v>
      </c>
      <c r="C28" t="s">
        <v>277</v>
      </c>
      <c r="D28" t="s">
        <v>278</v>
      </c>
      <c r="E28" t="s">
        <v>293</v>
      </c>
      <c r="F28" t="s">
        <v>292</v>
      </c>
      <c r="G28" t="s">
        <v>294</v>
      </c>
      <c r="H28" t="s">
        <v>244</v>
      </c>
      <c r="I28" t="s">
        <v>249</v>
      </c>
    </row>
    <row r="29" spans="1:9" x14ac:dyDescent="0.35">
      <c r="A29" t="s">
        <v>437</v>
      </c>
      <c r="B29" t="s">
        <v>438</v>
      </c>
      <c r="C29" t="s">
        <v>301</v>
      </c>
      <c r="D29" t="s">
        <v>302</v>
      </c>
      <c r="E29" t="s">
        <v>302</v>
      </c>
      <c r="F29" t="s">
        <v>300</v>
      </c>
      <c r="G29" t="s">
        <v>303</v>
      </c>
      <c r="H29" t="s">
        <v>244</v>
      </c>
      <c r="I29" t="s">
        <v>249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2273201081640 - NGÔ NGỌC THỦY - 71K28QHCC24</cp:lastModifiedBy>
  <dcterms:created xsi:type="dcterms:W3CDTF">2026-09-24T10:29:59Z</dcterms:created>
  <dcterms:modified xsi:type="dcterms:W3CDTF">2026-10-05T09:43:39Z</dcterms:modified>
</cp:coreProperties>
</file>