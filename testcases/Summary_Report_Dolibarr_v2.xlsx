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0. Project Information" sheetId="2" state="visible" r:id="rId2"/>
    <sheet xmlns:r="http://schemas.openxmlformats.org/officeDocument/2006/relationships" name="1. Summary Report" sheetId="3" state="visible" r:id="rId3"/>
    <sheet xmlns:r="http://schemas.openxmlformats.org/officeDocument/2006/relationships" name="2. Defects Report" sheetId="4" state="visible" r:id="rId4"/>
    <sheet xmlns:r="http://schemas.openxmlformats.org/officeDocument/2006/relationships" name="Evident" sheetId="5" state="visible" r:id="rId5"/>
    <sheet xmlns:r="http://schemas.openxmlformats.org/officeDocument/2006/relationships" name="Data Range" sheetId="6" state="visible" r:id="rId6"/>
    <sheet xmlns:r="http://schemas.openxmlformats.org/officeDocument/2006/relationships" name="Test Log" sheetId="7" state="visible" r:id="rId7"/>
  </sheets>
  <definedNames>
    <definedName name="_xlnm._FilterDatabase" localSheetId="6" hidden="1">'Test Log'!$A$1:$I$101</definedName>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name val="Calibri"/>
      <i val="1"/>
      <color rgb="007F7F7F"/>
      <sz val="9"/>
    </font>
    <font>
      <name val="Calibri"/>
      <b val="1"/>
      <color rgb="001F3864"/>
      <sz val="22"/>
    </font>
    <font>
      <name val="Calibri"/>
      <b val="1"/>
      <color rgb="00000000"/>
      <sz val="10"/>
    </font>
    <font>
      <name val="Calibri"/>
      <b val="1"/>
      <color rgb="001F3864"/>
      <sz val="10"/>
    </font>
    <font>
      <name val="Calibri"/>
      <color rgb="00000000"/>
      <sz val="10"/>
    </font>
    <font>
      <name val="Calibri"/>
      <b val="1"/>
      <color rgb="00FFFFFF"/>
      <sz val="10"/>
    </font>
    <font>
      <name val="Calibri"/>
      <b val="1"/>
      <color rgb="00FFFFFF"/>
      <sz val="14"/>
    </font>
    <font>
      <name val="Calibri"/>
      <b val="1"/>
      <color rgb="00FFFFFF"/>
      <sz val="13"/>
    </font>
    <font>
      <name val="Calibri"/>
      <b val="1"/>
      <color rgb="001F3864"/>
      <sz val="16"/>
    </font>
    <font>
      <name val="Calibri"/>
      <b val="1"/>
      <color rgb="00FFFFFF"/>
      <sz val="15"/>
    </font>
    <font>
      <name val="Calibri"/>
      <i val="1"/>
      <color rgb="00595959"/>
      <sz val="9"/>
    </font>
  </fonts>
  <fills count="6">
    <fill>
      <patternFill/>
    </fill>
    <fill>
      <patternFill patternType="gray125"/>
    </fill>
    <fill>
      <patternFill patternType="solid">
        <fgColor rgb="00D9E1F2"/>
        <bgColor rgb="00D9E1F2"/>
      </patternFill>
    </fill>
    <fill>
      <patternFill patternType="solid">
        <fgColor rgb="002F4F8F"/>
        <bgColor rgb="002F4F8F"/>
      </patternFill>
    </fill>
    <fill>
      <patternFill patternType="solid">
        <fgColor rgb="001F3864"/>
        <bgColor rgb="001F3864"/>
      </patternFill>
    </fill>
    <fill>
      <patternFill patternType="solid">
        <fgColor rgb="00FFF9E5"/>
        <bgColor rgb="00FFF9E5"/>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2">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right"/>
    </xf>
    <xf numFmtId="0" fontId="4" fillId="2" borderId="1" applyAlignment="1" pivotButton="0" quotePrefix="0" xfId="0">
      <alignment horizontal="left" vertical="center" wrapText="1"/>
    </xf>
    <xf numFmtId="0" fontId="0" fillId="2" borderId="1" pivotButton="0" quotePrefix="0" xfId="0"/>
    <xf numFmtId="0" fontId="3" fillId="0" borderId="1" applyAlignment="1" pivotButton="0" quotePrefix="0" xfId="0">
      <alignment horizontal="left" vertical="center" wrapText="1"/>
    </xf>
    <xf numFmtId="0" fontId="5" fillId="0" borderId="1" applyAlignment="1" pivotButton="0" quotePrefix="0" xfId="0">
      <alignment horizontal="left" vertical="center" wrapText="1"/>
    </xf>
    <xf numFmtId="0" fontId="0" fillId="0" borderId="1" applyAlignment="1" pivotButton="0" quotePrefix="0" xfId="0">
      <alignment horizontal="left" vertical="center" wrapText="1"/>
    </xf>
    <xf numFmtId="0" fontId="6" fillId="3" borderId="1" applyAlignment="1" pivotButton="0" quotePrefix="0" xfId="0">
      <alignment horizontal="center" vertical="center" wrapText="1"/>
    </xf>
    <xf numFmtId="0" fontId="5" fillId="0" borderId="1" applyAlignment="1" pivotButton="0" quotePrefix="0" xfId="0">
      <alignment vertical="top" wrapText="1"/>
    </xf>
    <xf numFmtId="0" fontId="9" fillId="0" borderId="0" applyAlignment="1" pivotButton="0" quotePrefix="0" xfId="0">
      <alignment horizontal="left" vertical="center" wrapText="1"/>
    </xf>
    <xf numFmtId="0" fontId="5" fillId="0" borderId="1" pivotButton="0" quotePrefix="0" xfId="0"/>
    <xf numFmtId="0" fontId="0" fillId="5" borderId="1" pivotButton="0" quotePrefix="0" xfId="0"/>
    <xf numFmtId="0" fontId="1" fillId="0" borderId="1" pivotButton="0" quotePrefix="0" xfId="0"/>
    <xf numFmtId="0" fontId="10" fillId="4" borderId="0" applyAlignment="1" pivotButton="0" quotePrefix="0" xfId="0">
      <alignment horizontal="center" vertical="center" wrapText="1"/>
    </xf>
    <xf numFmtId="0" fontId="0" fillId="4" borderId="0" pivotButton="0" quotePrefix="0" xfId="0"/>
    <xf numFmtId="0" fontId="4" fillId="0" borderId="1" applyAlignment="1" pivotButton="0" quotePrefix="0" xfId="0">
      <alignment horizontal="center" vertical="center" wrapText="1"/>
    </xf>
    <xf numFmtId="0" fontId="0" fillId="0" borderId="1" pivotButton="0" quotePrefix="0" xfId="0"/>
    <xf numFmtId="164" fontId="4" fillId="0" borderId="1" applyAlignment="1" pivotButton="0" quotePrefix="0" xfId="0">
      <alignment horizontal="center" vertical="center" wrapText="1"/>
    </xf>
    <xf numFmtId="0" fontId="5" fillId="0" borderId="1" applyAlignment="1" pivotButton="0" quotePrefix="0" xfId="0">
      <alignment horizontal="center" vertical="center" wrapText="1"/>
    </xf>
    <xf numFmtId="164" fontId="5" fillId="0" borderId="1" applyAlignment="1" pivotButton="0" quotePrefix="0" xfId="0">
      <alignment horizontal="center" vertical="center" wrapText="1"/>
    </xf>
    <xf numFmtId="164" fontId="5" fillId="0" borderId="1" applyAlignment="1" pivotButton="0" quotePrefix="0" xfId="0">
      <alignment horizontal="left" vertical="center" wrapText="1"/>
    </xf>
    <xf numFmtId="0" fontId="6" fillId="4" borderId="1" applyAlignment="1" pivotButton="0" quotePrefix="0" xfId="0">
      <alignment horizontal="left" vertical="center" wrapText="1"/>
    </xf>
    <xf numFmtId="0" fontId="6" fillId="4" borderId="1" applyAlignment="1" pivotButton="0" quotePrefix="0" xfId="0">
      <alignment horizontal="center" vertical="center" wrapText="1"/>
    </xf>
    <xf numFmtId="164" fontId="6" fillId="4" borderId="1" applyAlignment="1" pivotButton="0" quotePrefix="0" xfId="0">
      <alignment horizontal="center" vertical="center" wrapText="1"/>
    </xf>
    <xf numFmtId="164" fontId="6" fillId="4" borderId="1" applyAlignment="1" pivotButton="0" quotePrefix="0" xfId="0">
      <alignment horizontal="left" vertical="center" wrapText="1"/>
    </xf>
    <xf numFmtId="0" fontId="11" fillId="0" borderId="0" applyAlignment="1" pivotButton="0" quotePrefix="0" xfId="0">
      <alignment vertical="top" wrapText="1"/>
    </xf>
    <xf numFmtId="0" fontId="7" fillId="4" borderId="0" applyAlignment="1" pivotButton="0" quotePrefix="0" xfId="0">
      <alignment horizontal="left" vertical="center" wrapText="1"/>
    </xf>
    <xf numFmtId="0" fontId="8" fillId="4" borderId="0" applyAlignment="1" pivotButton="0" quotePrefix="0" xfId="0">
      <alignment horizontal="left" vertical="center" wrapText="1"/>
    </xf>
    <xf numFmtId="0" fontId="0" fillId="0" borderId="4" pivotButton="0" quotePrefix="0" xfId="0"/>
    <xf numFmtId="0" fontId="0" fillId="0" borderId="5" pivotButton="0" quotePrefix="0" xfId="0"/>
  </cellXfs>
  <cellStyles count="1">
    <cellStyle name="Normal" xfId="0" builtinId="0" hidden="0"/>
  </cellStyles>
  <dxfs count="4">
    <dxf>
      <font>
        <name val="Calibri"/>
        <b val="1"/>
        <color rgb="00006100"/>
      </font>
      <fill>
        <patternFill patternType="solid">
          <fgColor rgb="00C6EFCE"/>
          <bgColor rgb="00C6EFCE"/>
        </patternFill>
      </fill>
    </dxf>
    <dxf>
      <font>
        <name val="Calibri"/>
        <b val="1"/>
        <color rgb="009C0006"/>
      </font>
      <fill>
        <patternFill patternType="solid">
          <fgColor rgb="00FFC7CE"/>
          <bgColor rgb="00FFC7CE"/>
        </patternFill>
      </fill>
    </dxf>
    <dxf>
      <font>
        <name val="Calibri"/>
        <b val="1"/>
        <color rgb="009C5700"/>
      </font>
      <fill>
        <patternFill patternType="solid">
          <fgColor rgb="00FFEB9C"/>
          <bgColor rgb="00FFEB9C"/>
        </patternFill>
      </fill>
    </dxf>
    <dxf>
      <font>
        <name val="Calibri"/>
        <b val="1"/>
        <color rgb="00404040"/>
      </font>
      <fill>
        <patternFill patternType="solid">
          <fgColor rgb="00D9D9D9"/>
          <b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Kết quả thực thi theo module</a:t>
            </a:r>
          </a:p>
        </rich>
      </tx>
    </title>
    <plotArea>
      <barChart>
        <barDir val="col"/>
        <grouping val="stacked"/>
        <ser>
          <idx val="0"/>
          <order val="0"/>
          <tx>
            <strRef>
              <f>'Data Range'!B1</f>
            </strRef>
          </tx>
          <spPr>
            <a:solidFill xmlns:a="http://schemas.openxmlformats.org/drawingml/2006/main">
              <a:srgbClr val="70AD47"/>
            </a:solidFill>
            <a:ln xmlns:a="http://schemas.openxmlformats.org/drawingml/2006/main">
              <a:prstDash val="solid"/>
            </a:ln>
          </spPr>
          <cat>
            <numRef>
              <f>'Data Range'!$A$2:$A$4</f>
            </numRef>
          </cat>
          <val>
            <numRef>
              <f>'Data Range'!$B$2:$B$4</f>
            </numRef>
          </val>
        </ser>
        <ser>
          <idx val="1"/>
          <order val="1"/>
          <tx>
            <strRef>
              <f>'Data Range'!C1</f>
            </strRef>
          </tx>
          <spPr>
            <a:solidFill xmlns:a="http://schemas.openxmlformats.org/drawingml/2006/main">
              <a:srgbClr val="C00000"/>
            </a:solidFill>
            <a:ln xmlns:a="http://schemas.openxmlformats.org/drawingml/2006/main">
              <a:prstDash val="solid"/>
            </a:ln>
          </spPr>
          <cat>
            <numRef>
              <f>'Data Range'!$A$2:$A$4</f>
            </numRef>
          </cat>
          <val>
            <numRef>
              <f>'Data Range'!$C$2:$C$4</f>
            </numRef>
          </val>
        </ser>
        <ser>
          <idx val="2"/>
          <order val="2"/>
          <tx>
            <strRef>
              <f>'Data Range'!D1</f>
            </strRef>
          </tx>
          <spPr>
            <a:solidFill xmlns:a="http://schemas.openxmlformats.org/drawingml/2006/main">
              <a:srgbClr val="FFC000"/>
            </a:solidFill>
            <a:ln xmlns:a="http://schemas.openxmlformats.org/drawingml/2006/main">
              <a:prstDash val="solid"/>
            </a:ln>
          </spPr>
          <cat>
            <numRef>
              <f>'Data Range'!$A$2:$A$4</f>
            </numRef>
          </cat>
          <val>
            <numRef>
              <f>'Data Range'!$D$2:$D$4</f>
            </numRef>
          </val>
        </ser>
        <ser>
          <idx val="3"/>
          <order val="3"/>
          <tx>
            <strRef>
              <f>'Data Range'!E1</f>
            </strRef>
          </tx>
          <spPr>
            <a:solidFill xmlns:a="http://schemas.openxmlformats.org/drawingml/2006/main">
              <a:srgbClr val="A6A6A6"/>
            </a:solidFill>
            <a:ln xmlns:a="http://schemas.openxmlformats.org/drawingml/2006/main">
              <a:prstDash val="solid"/>
            </a:ln>
          </spPr>
          <cat>
            <numRef>
              <f>'Data Range'!$A$2:$A$4</f>
            </numRef>
          </cat>
          <val>
            <numRef>
              <f>'Data Range'!$E$2:$E$4</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Số test case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Tỷ lệ trạng thái test case</a:t>
            </a:r>
          </a:p>
        </rich>
      </tx>
    </title>
    <plotArea>
      <pieChart>
        <varyColors val="1"/>
        <ser>
          <idx val="0"/>
          <order val="0"/>
          <tx>
            <strRef>
              <f>'Data Range'!B6</f>
            </strRef>
          </tx>
          <spPr>
            <a:ln xmlns:a="http://schemas.openxmlformats.org/drawingml/2006/main">
              <a:prstDash val="solid"/>
            </a:ln>
          </spPr>
          <cat>
            <numRef>
              <f>'Data Range'!$A$7:$A$10</f>
            </numRef>
          </cat>
          <val>
            <numRef>
              <f>'Data Range'!$B$7:$B$10</f>
            </numRef>
          </val>
        </ser>
        <dLbls>
          <showPercent val="1"/>
        </dLbls>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31</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31</row>
      <rowOff>0</rowOff>
    </from>
    <ext cx="39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1</col>
      <colOff>0</colOff>
      <row>5</row>
      <rowOff>0</rowOff>
    </from>
    <ext cx="4572000" cy="2857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B1:E13"/>
  <sheetViews>
    <sheetView showGridLines="0" workbookViewId="0">
      <selection activeCell="A1" sqref="A1"/>
    </sheetView>
  </sheetViews>
  <sheetFormatPr baseColWidth="8" defaultRowHeight="15"/>
  <cols>
    <col width="3" customWidth="1" min="1" max="1"/>
    <col width="24" customWidth="1" min="2" max="2"/>
    <col width="30" customWidth="1" min="3" max="3"/>
    <col width="30" customWidth="1" min="4" max="4"/>
    <col width="50" customWidth="1" min="5" max="5"/>
  </cols>
  <sheetData>
    <row r="1">
      <c r="C1" s="1" t="inlineStr">
        <is>
          <t>Practical Software Engineering Series</t>
        </is>
      </c>
    </row>
    <row r="2" ht="40" customHeight="1">
      <c r="B2" s="2" t="inlineStr">
        <is>
          <t>TEST SUMMARY REPORT</t>
        </is>
      </c>
    </row>
    <row r="3">
      <c r="D3" s="3" t="inlineStr">
        <is>
          <t>Version : 1.0</t>
        </is>
      </c>
    </row>
    <row r="5" ht="20" customHeight="1">
      <c r="B5" s="4" t="inlineStr">
        <is>
          <t>Document Control information</t>
        </is>
      </c>
      <c r="C5" s="30" t="n"/>
      <c r="D5" s="30" t="n"/>
      <c r="E5" s="31" t="n"/>
    </row>
    <row r="6">
      <c r="B6" s="6" t="inlineStr">
        <is>
          <t>Faculty</t>
        </is>
      </c>
      <c r="C6" s="7" t="inlineStr">
        <is>
          <t>Faculty of Information Technology — HUFLIT</t>
        </is>
      </c>
      <c r="D6" s="30" t="n"/>
      <c r="E6" s="31" t="n"/>
    </row>
    <row r="7">
      <c r="B7" s="6" t="inlineStr">
        <is>
          <t>Issue Date:</t>
        </is>
      </c>
      <c r="C7" s="7" t="inlineStr">
        <is>
          <t>19-Oct-2026</t>
        </is>
      </c>
      <c r="D7" s="30" t="n"/>
      <c r="E7" s="31" t="n"/>
    </row>
    <row r="8">
      <c r="B8" s="6" t="inlineStr">
        <is>
          <t>Author:</t>
        </is>
      </c>
      <c r="C8" s="7" t="inlineStr">
        <is>
          <t>Đặng Hải Phi (23DH112608)</t>
        </is>
      </c>
      <c r="D8" s="30" t="n"/>
      <c r="E8" s="31" t="n"/>
    </row>
    <row r="9">
      <c r="B9" s="6" t="inlineStr">
        <is>
          <t>Confidential Class:</t>
        </is>
      </c>
      <c r="C9" s="7" t="inlineStr">
        <is>
          <t>Đồ án thực tập — nội bộ</t>
        </is>
      </c>
      <c r="D9" s="30" t="n"/>
      <c r="E9" s="31" t="n"/>
    </row>
    <row r="11" ht="20" customHeight="1">
      <c r="B11" s="4" t="inlineStr">
        <is>
          <t>Document Revision History</t>
        </is>
      </c>
      <c r="C11" s="30" t="n"/>
      <c r="D11" s="30" t="n"/>
      <c r="E11" s="31" t="n"/>
    </row>
    <row r="12" ht="32" customHeight="1">
      <c r="B12" s="9" t="inlineStr">
        <is>
          <t>Date</t>
        </is>
      </c>
      <c r="C12" s="9" t="inlineStr">
        <is>
          <t>Version</t>
        </is>
      </c>
      <c r="D12" s="9" t="inlineStr">
        <is>
          <t>Description</t>
        </is>
      </c>
      <c r="E12" s="9" t="inlineStr">
        <is>
          <t>Revised by</t>
        </is>
      </c>
    </row>
    <row r="13" ht="48.5" customHeight="1">
      <c r="B13" s="10" t="inlineStr">
        <is>
          <t>19-Oct-2026</t>
        </is>
      </c>
      <c r="C13" s="10" t="inlineStr">
        <is>
          <t>1.0</t>
        </is>
      </c>
      <c r="D13" s="10" t="inlineStr">
        <is>
          <t>Tổng hợp 100 test case (57 Automation, 43 Manual) của 3 module CRM, Sales &amp; Invoicing, Stock. Trạng thái Manual giữ "Not Executed" cho đến khi thực thi thật.</t>
        </is>
      </c>
      <c r="E13" s="10" t="inlineStr">
        <is>
          <t>Đặng Hải Phi (23DH112608)</t>
        </is>
      </c>
    </row>
  </sheetData>
  <mergeCells count="9">
    <mergeCell ref="C1:E1"/>
    <mergeCell ref="C8:E8"/>
    <mergeCell ref="C9:E9"/>
    <mergeCell ref="B11:E11"/>
    <mergeCell ref="B5:E5"/>
    <mergeCell ref="B2:E2"/>
    <mergeCell ref="C7:E7"/>
    <mergeCell ref="D3:E3"/>
    <mergeCell ref="C6:E6"/>
  </mergeCells>
  <pageMargins left="0.4" right="0.4"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B2:E12"/>
  <sheetViews>
    <sheetView showGridLines="0" workbookViewId="0">
      <selection activeCell="A1" sqref="A1"/>
    </sheetView>
  </sheetViews>
  <sheetFormatPr baseColWidth="8" defaultRowHeight="15"/>
  <cols>
    <col width="3" customWidth="1" min="1" max="1"/>
    <col width="26" customWidth="1" min="2" max="2"/>
    <col width="40" customWidth="1" min="3" max="3"/>
    <col width="26" customWidth="1" min="4" max="4"/>
    <col width="30" customWidth="1" min="5" max="5"/>
  </cols>
  <sheetData>
    <row r="2" ht="32" customHeight="1">
      <c r="B2" s="11" t="inlineStr">
        <is>
          <t>TEST SUMMARY REPORT</t>
        </is>
      </c>
    </row>
    <row r="4" ht="20" customHeight="1">
      <c r="B4" s="4" t="inlineStr">
        <is>
          <t>Project Information</t>
        </is>
      </c>
      <c r="C4" s="30" t="n"/>
      <c r="D4" s="30" t="n"/>
      <c r="E4" s="31" t="n"/>
    </row>
    <row r="5">
      <c r="B5" s="6" t="inlineStr">
        <is>
          <t>Project Name</t>
        </is>
      </c>
      <c r="C5" s="7" t="inlineStr">
        <is>
          <t>Kiểm thử phần mềm Dolibarr ERP &amp; CRM 22.0.4</t>
        </is>
      </c>
      <c r="D5" s="30" t="n"/>
      <c r="E5" s="31" t="n"/>
    </row>
    <row r="6" ht="35" customHeight="1">
      <c r="B6" s="6" t="inlineStr">
        <is>
          <t>Description</t>
        </is>
      </c>
      <c r="C6" s="7" t="inlineStr">
        <is>
          <t>Đồ án thực tập — kiểm thử Dolibarr ERP &amp; CRM 22.0.4 trên 3 module CRM, Sales &amp; Invoicing, Stock. Tổng 100 test case: 57 Automation (Selenium C# + MSTest, POM) và 43 Manual.</t>
        </is>
      </c>
      <c r="D6" s="30" t="n"/>
      <c r="E6" s="31" t="n"/>
    </row>
    <row r="7">
      <c r="B7" s="6" t="inlineStr">
        <is>
          <t>Issue Date</t>
        </is>
      </c>
      <c r="C7" s="7" t="inlineStr">
        <is>
          <t>19-Oct-2026</t>
        </is>
      </c>
      <c r="D7" s="30" t="n"/>
      <c r="E7" s="31" t="n"/>
    </row>
    <row r="8">
      <c r="B8" s="6" t="inlineStr">
        <is>
          <t>Author</t>
        </is>
      </c>
      <c r="C8" s="7" t="inlineStr">
        <is>
          <t>Đặng Hải Phi (23DH112608)</t>
        </is>
      </c>
      <c r="D8" s="30" t="n"/>
      <c r="E8" s="31" t="n"/>
    </row>
    <row r="9" ht="32" customHeight="1">
      <c r="B9" s="9" t="inlineStr">
        <is>
          <t>Reviewer Information</t>
        </is>
      </c>
      <c r="C9" s="9" t="inlineStr">
        <is>
          <t>Name</t>
        </is>
      </c>
      <c r="D9" s="9" t="inlineStr">
        <is>
          <t>Department</t>
        </is>
      </c>
      <c r="E9" s="9" t="inlineStr">
        <is>
          <t>Position</t>
        </is>
      </c>
    </row>
    <row r="10">
      <c r="B10" s="12" t="inlineStr">
        <is>
          <t>Đặng Hải Phi (tự rà soát)</t>
        </is>
      </c>
      <c r="C10" s="13" t="n"/>
      <c r="D10" s="13" t="n"/>
      <c r="E10" s="13" t="n"/>
    </row>
    <row r="11" ht="32" customHeight="1">
      <c r="B11" s="9" t="inlineStr">
        <is>
          <t>Approver Information</t>
        </is>
      </c>
      <c r="C11" s="9" t="inlineStr">
        <is>
          <t>Name</t>
        </is>
      </c>
      <c r="D11" s="9" t="inlineStr">
        <is>
          <t>Department</t>
        </is>
      </c>
      <c r="E11" s="9" t="inlineStr">
        <is>
          <t>Position</t>
        </is>
      </c>
    </row>
    <row r="12">
      <c r="B12" s="14" t="inlineStr">
        <is>
          <t>(điền khi có)</t>
        </is>
      </c>
      <c r="C12" s="13" t="n"/>
      <c r="D12" s="13" t="n"/>
      <c r="E12" s="13" t="n"/>
    </row>
  </sheetData>
  <mergeCells count="6">
    <mergeCell ref="C5:E5"/>
    <mergeCell ref="B4:E4"/>
    <mergeCell ref="C8:E8"/>
    <mergeCell ref="B2:E2"/>
    <mergeCell ref="C7:E7"/>
    <mergeCell ref="C6:E6"/>
  </mergeCells>
  <pageMargins left="0.4" right="0.4" top="1" bottom="1" header="0.5" footer="0.5"/>
  <pageSetup orientation="portrait" paperSize="9" fitToHeight="0" fitToWidth="1"/>
</worksheet>
</file>

<file path=xl/worksheets/sheet3.xml><?xml version="1.0" encoding="utf-8"?>
<worksheet xmlns="http://schemas.openxmlformats.org/spreadsheetml/2006/main">
  <sheetPr>
    <outlinePr summaryBelow="1" summaryRight="1"/>
    <pageSetUpPr fitToPage="1"/>
  </sheetPr>
  <dimension ref="B2:N50"/>
  <sheetViews>
    <sheetView showGridLines="0" workbookViewId="0">
      <pane xSplit="2" ySplit="18" topLeftCell="C19"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34" customWidth="1" min="2" max="2"/>
    <col width="12" customWidth="1" min="3" max="3"/>
    <col width="11" customWidth="1" min="4" max="4"/>
    <col width="11" customWidth="1" min="5" max="5"/>
    <col width="11" customWidth="1" min="6" max="6"/>
    <col width="13" customWidth="1" min="7" max="7"/>
    <col width="11" customWidth="1" min="8" max="8"/>
    <col width="11" customWidth="1" min="9" max="9"/>
    <col width="11" customWidth="1" min="10" max="10"/>
    <col width="11" customWidth="1" min="11" max="11"/>
    <col width="12" customWidth="1" min="12" max="12"/>
    <col width="12" customWidth="1" min="13" max="13"/>
    <col width="46" customWidth="1" min="14" max="14"/>
  </cols>
  <sheetData>
    <row r="2" ht="32" customHeight="1">
      <c r="B2" s="15" t="inlineStr">
        <is>
          <t>TEST SUMMARY REPORT — Dolibarr ERP &amp; CRM 22.0.4</t>
        </is>
      </c>
    </row>
    <row r="4" ht="20" customHeight="1">
      <c r="B4" s="4" t="inlineStr">
        <is>
          <t>OVERALL INFORMATION</t>
        </is>
      </c>
      <c r="C4" s="30" t="n"/>
      <c r="D4" s="30" t="n"/>
      <c r="E4" s="30" t="n"/>
      <c r="F4" s="30" t="n"/>
      <c r="G4" s="30" t="n"/>
      <c r="H4" s="30" t="n"/>
      <c r="I4" s="30" t="n"/>
      <c r="J4" s="30" t="n"/>
      <c r="K4" s="30" t="n"/>
      <c r="L4" s="30" t="n"/>
      <c r="M4" s="30" t="n"/>
      <c r="N4" s="31" t="n"/>
    </row>
    <row r="5" ht="30" customHeight="1">
      <c r="B5" s="6" t="inlineStr">
        <is>
          <t>Test Purpose</t>
        </is>
      </c>
      <c r="C5" s="7" t="inlineStr">
        <is>
          <t>Đánh giá chất lượng chức năng Dolibarr ERP &amp; CRM 22.0.4 (CRM, Sales &amp; Invoicing, Stock) bằng kiểm thử tự động (Selenium C# + MSTest, POM) và kiểm thử thủ công.</t>
        </is>
      </c>
      <c r="D5" s="30" t="n"/>
      <c r="E5" s="30" t="n"/>
      <c r="F5" s="30" t="n"/>
      <c r="G5" s="30" t="n"/>
      <c r="H5" s="30" t="n"/>
      <c r="I5" s="30" t="n"/>
      <c r="J5" s="30" t="n"/>
      <c r="K5" s="30" t="n"/>
      <c r="L5" s="30" t="n"/>
      <c r="M5" s="30" t="n"/>
      <c r="N5" s="31" t="n"/>
    </row>
    <row r="6">
      <c r="B6" s="6" t="inlineStr">
        <is>
          <t>Number of testers</t>
        </is>
      </c>
      <c r="C6" s="7" t="inlineStr">
        <is>
          <t>1 (Đặng Hải Phi)</t>
        </is>
      </c>
      <c r="D6" s="30" t="n"/>
      <c r="E6" s="30" t="n"/>
      <c r="F6" s="30" t="n"/>
      <c r="G6" s="30" t="n"/>
      <c r="H6" s="30" t="n"/>
      <c r="I6" s="30" t="n"/>
      <c r="J6" s="30" t="n"/>
      <c r="K6" s="30" t="n"/>
      <c r="L6" s="30" t="n"/>
      <c r="M6" s="30" t="n"/>
      <c r="N6" s="31" t="n"/>
    </row>
    <row r="8" ht="20" customHeight="1">
      <c r="B8" s="4" t="inlineStr">
        <is>
          <t>OVERALL STATUS</t>
        </is>
      </c>
      <c r="C8" s="30" t="n"/>
      <c r="D8" s="30" t="n"/>
      <c r="E8" s="30" t="n"/>
      <c r="F8" s="30" t="n"/>
      <c r="G8" s="30" t="n"/>
      <c r="H8" s="30" t="n"/>
      <c r="I8" s="30" t="n"/>
      <c r="J8" s="30" t="n"/>
      <c r="K8" s="30" t="n"/>
      <c r="L8" s="30" t="n"/>
      <c r="M8" s="30" t="n"/>
      <c r="N8" s="31" t="n"/>
    </row>
    <row r="9" ht="18" customHeight="1">
      <c r="B9" s="6" t="inlineStr">
        <is>
          <t>Total Number of Test Cases</t>
        </is>
      </c>
      <c r="C9" s="17">
        <f>COUNTA('Test Log'!$A:$A)-1</f>
        <v/>
      </c>
      <c r="E9" s="6" t="inlineStr">
        <is>
          <t>Number of Defects</t>
        </is>
      </c>
      <c r="F9" s="30" t="n"/>
      <c r="G9" s="31" t="n"/>
      <c r="H9" s="17">
        <f>COUNTA('2. Defects Report'!$D:$D)-1</f>
        <v/>
      </c>
    </row>
    <row r="10" ht="18" customHeight="1">
      <c r="B10" s="6" t="inlineStr">
        <is>
          <t>Passed</t>
        </is>
      </c>
      <c r="C10" s="17">
        <f>COUNTIF('Test Log'!$G:$G,"Passed")</f>
        <v/>
      </c>
      <c r="E10" s="6" t="inlineStr">
        <is>
          <t>Critical</t>
        </is>
      </c>
      <c r="F10" s="30" t="n"/>
      <c r="G10" s="31" t="n"/>
      <c r="H10" s="17">
        <f>COUNTIF('2. Defects Report'!$L:$L,"Critical")</f>
        <v/>
      </c>
    </row>
    <row r="11" ht="18" customHeight="1">
      <c r="B11" s="6" t="inlineStr">
        <is>
          <t>Failed</t>
        </is>
      </c>
      <c r="C11" s="17">
        <f>COUNTIF('Test Log'!$G:$G,"Failed")</f>
        <v/>
      </c>
      <c r="E11" s="6" t="inlineStr">
        <is>
          <t>High</t>
        </is>
      </c>
      <c r="F11" s="30" t="n"/>
      <c r="G11" s="31" t="n"/>
      <c r="H11" s="17">
        <f>COUNTIF('2. Defects Report'!$L:$L,"High")</f>
        <v/>
      </c>
    </row>
    <row r="12" ht="18" customHeight="1">
      <c r="B12" s="6" t="inlineStr">
        <is>
          <t>Total Tests Executed (Passed + Failed)</t>
        </is>
      </c>
      <c r="C12" s="17">
        <f>C10+C11</f>
        <v/>
      </c>
      <c r="E12" s="6" t="inlineStr">
        <is>
          <t>Medium</t>
        </is>
      </c>
      <c r="F12" s="30" t="n"/>
      <c r="G12" s="31" t="n"/>
      <c r="H12" s="17">
        <f>COUNTIF('2. Defects Report'!$L:$L,"Medium")</f>
        <v/>
      </c>
    </row>
    <row r="13" ht="18" customHeight="1">
      <c r="B13" s="6" t="inlineStr">
        <is>
          <t>Not Executed</t>
        </is>
      </c>
      <c r="C13" s="17">
        <f>COUNTIF('Test Log'!$G:$G,"Not Executed")</f>
        <v/>
      </c>
      <c r="E13" s="6" t="inlineStr">
        <is>
          <t>Minor</t>
        </is>
      </c>
      <c r="F13" s="30" t="n"/>
      <c r="G13" s="31" t="n"/>
      <c r="H13" s="17">
        <f>COUNTIF('2. Defects Report'!$L:$L,"Minor")</f>
        <v/>
      </c>
    </row>
    <row r="14" ht="18" customHeight="1">
      <c r="B14" s="6" t="inlineStr">
        <is>
          <t>Blocked</t>
        </is>
      </c>
      <c r="C14" s="17">
        <f>COUNTIF('Test Log'!$G:$G,"Blocked")</f>
        <v/>
      </c>
      <c r="E14" s="6" t="inlineStr">
        <is>
          <t>Status: New (chưa xử lý)</t>
        </is>
      </c>
      <c r="F14" s="30" t="n"/>
      <c r="G14" s="31" t="n"/>
      <c r="H14" s="17">
        <f>COUNTIF('2. Defects Report'!$M:$M,"New")</f>
        <v/>
      </c>
    </row>
    <row r="15" ht="18" customHeight="1">
      <c r="B15" s="6" t="inlineStr">
        <is>
          <t>Execution progress</t>
        </is>
      </c>
      <c r="C15" s="19">
        <f>IFERROR(C12/C9,0)</f>
        <v/>
      </c>
      <c r="E15" s="6" t="inlineStr">
        <is>
          <t>Status: Fixed</t>
        </is>
      </c>
      <c r="F15" s="30" t="n"/>
      <c r="G15" s="31" t="n"/>
      <c r="H15" s="17">
        <f>COUNTIF('2. Defects Report'!$M:$M,"Fixed")</f>
        <v/>
      </c>
    </row>
    <row r="16" ht="18" customHeight="1">
      <c r="B16" s="6" t="inlineStr">
        <is>
          <t>Pass rate (trên TC đã thực thi)</t>
        </is>
      </c>
      <c r="C16" s="19">
        <f>IFERROR(C10/C12,0)</f>
        <v/>
      </c>
    </row>
    <row r="18" ht="32" customHeight="1">
      <c r="B18" s="9" t="inlineStr">
        <is>
          <t>Test Subject</t>
        </is>
      </c>
      <c r="C18" s="9" t="inlineStr">
        <is>
          <t>Priority</t>
        </is>
      </c>
      <c r="D18" s="9" t="inlineStr">
        <is>
          <t>Total Test Cases</t>
        </is>
      </c>
      <c r="E18" s="9" t="inlineStr">
        <is>
          <t>Passed</t>
        </is>
      </c>
      <c r="F18" s="9" t="inlineStr">
        <is>
          <t>Failed</t>
        </is>
      </c>
      <c r="G18" s="9" t="inlineStr">
        <is>
          <t>Not Executed</t>
        </is>
      </c>
      <c r="H18" s="9" t="inlineStr">
        <is>
          <t>Blocked</t>
        </is>
      </c>
      <c r="I18" s="9" t="inlineStr">
        <is>
          <t>Fail Rate</t>
        </is>
      </c>
      <c r="J18" s="9" t="inlineStr">
        <is>
          <t>Total Defects</t>
        </is>
      </c>
      <c r="K18" s="9" t="inlineStr">
        <is>
          <t>Line of code (LOC)</t>
        </is>
      </c>
      <c r="L18" s="9" t="inlineStr">
        <is>
          <t>Defects fixed</t>
        </is>
      </c>
      <c r="M18" s="9" t="inlineStr">
        <is>
          <t>Fixed Rate</t>
        </is>
      </c>
      <c r="N18" s="9" t="inlineStr">
        <is>
          <t>Comments</t>
        </is>
      </c>
    </row>
    <row r="19" ht="30" customHeight="1">
      <c r="B19" s="7" t="inlineStr">
        <is>
          <t>Tạo khách hàng mới</t>
        </is>
      </c>
      <c r="C19" s="20" t="inlineStr">
        <is>
          <t>High</t>
        </is>
      </c>
      <c r="D19" s="20">
        <f>COUNTIF('Test Log'!$D:$D,$B19)</f>
        <v/>
      </c>
      <c r="E19" s="20">
        <f>COUNTIFS('Test Log'!$D:$D,$B19,'Test Log'!$G:$G,"Passed")</f>
        <v/>
      </c>
      <c r="F19" s="20">
        <f>COUNTIFS('Test Log'!$D:$D,$B19,'Test Log'!$G:$G,"Failed")</f>
        <v/>
      </c>
      <c r="G19" s="20">
        <f>COUNTIFS('Test Log'!$D:$D,$B19,'Test Log'!$G:$G,"Not Executed")</f>
        <v/>
      </c>
      <c r="H19" s="20">
        <f>COUNTIFS('Test Log'!$D:$D,$B19,'Test Log'!$G:$G,"Blocked")</f>
        <v/>
      </c>
      <c r="I19" s="21">
        <f>IFERROR(F19/D19,0)</f>
        <v/>
      </c>
      <c r="J19" s="20">
        <f>COUNTIF('2. Defects Report'!$C:$C,$B19)</f>
        <v/>
      </c>
      <c r="K19" s="20" t="inlineStr">
        <is>
          <t>—</t>
        </is>
      </c>
      <c r="L19" s="20">
        <f>COUNTIFS('2. Defects Report'!$C:$C,$B19,'2. Defects Report'!$M:$M,"Fixed")</f>
        <v/>
      </c>
      <c r="M19" s="22">
        <f>IFERROR(L19/J19,0)</f>
        <v/>
      </c>
      <c r="N19" s="7" t="inlineStr">
        <is>
          <t>Automation 13 · Manual 1 · Defect: BUG_001</t>
        </is>
      </c>
    </row>
    <row r="20" ht="30" customHeight="1">
      <c r="B20" s="7" t="inlineStr">
        <is>
          <t>Chỉnh sửa thông tin khách hàng</t>
        </is>
      </c>
      <c r="C20" s="20" t="inlineStr">
        <is>
          <t>High</t>
        </is>
      </c>
      <c r="D20" s="20">
        <f>COUNTIF('Test Log'!$D:$D,$B20)</f>
        <v/>
      </c>
      <c r="E20" s="20">
        <f>COUNTIFS('Test Log'!$D:$D,$B20,'Test Log'!$G:$G,"Passed")</f>
        <v/>
      </c>
      <c r="F20" s="20">
        <f>COUNTIFS('Test Log'!$D:$D,$B20,'Test Log'!$G:$G,"Failed")</f>
        <v/>
      </c>
      <c r="G20" s="20">
        <f>COUNTIFS('Test Log'!$D:$D,$B20,'Test Log'!$G:$G,"Not Executed")</f>
        <v/>
      </c>
      <c r="H20" s="20">
        <f>COUNTIFS('Test Log'!$D:$D,$B20,'Test Log'!$G:$G,"Blocked")</f>
        <v/>
      </c>
      <c r="I20" s="21">
        <f>IFERROR(F20/D20,0)</f>
        <v/>
      </c>
      <c r="J20" s="20">
        <f>COUNTIF('2. Defects Report'!$C:$C,$B20)</f>
        <v/>
      </c>
      <c r="K20" s="20" t="inlineStr">
        <is>
          <t>—</t>
        </is>
      </c>
      <c r="L20" s="20">
        <f>COUNTIFS('2. Defects Report'!$C:$C,$B20,'2. Defects Report'!$M:$M,"Fixed")</f>
        <v/>
      </c>
      <c r="M20" s="22">
        <f>IFERROR(L20/J20,0)</f>
        <v/>
      </c>
      <c r="N20" s="7" t="inlineStr">
        <is>
          <t>Automation 4 · Manual 1</t>
        </is>
      </c>
    </row>
    <row r="21" ht="30" customHeight="1">
      <c r="B21" s="7" t="inlineStr">
        <is>
          <t>Tìm kiếm khách hàng</t>
        </is>
      </c>
      <c r="C21" s="20" t="inlineStr">
        <is>
          <t>High</t>
        </is>
      </c>
      <c r="D21" s="20">
        <f>COUNTIF('Test Log'!$D:$D,$B21)</f>
        <v/>
      </c>
      <c r="E21" s="20">
        <f>COUNTIFS('Test Log'!$D:$D,$B21,'Test Log'!$G:$G,"Passed")</f>
        <v/>
      </c>
      <c r="F21" s="20">
        <f>COUNTIFS('Test Log'!$D:$D,$B21,'Test Log'!$G:$G,"Failed")</f>
        <v/>
      </c>
      <c r="G21" s="20">
        <f>COUNTIFS('Test Log'!$D:$D,$B21,'Test Log'!$G:$G,"Not Executed")</f>
        <v/>
      </c>
      <c r="H21" s="20">
        <f>COUNTIFS('Test Log'!$D:$D,$B21,'Test Log'!$G:$G,"Blocked")</f>
        <v/>
      </c>
      <c r="I21" s="21">
        <f>IFERROR(F21/D21,0)</f>
        <v/>
      </c>
      <c r="J21" s="20">
        <f>COUNTIF('2. Defects Report'!$C:$C,$B21)</f>
        <v/>
      </c>
      <c r="K21" s="20" t="inlineStr">
        <is>
          <t>—</t>
        </is>
      </c>
      <c r="L21" s="20">
        <f>COUNTIFS('2. Defects Report'!$C:$C,$B21,'2. Defects Report'!$M:$M,"Fixed")</f>
        <v/>
      </c>
      <c r="M21" s="22">
        <f>IFERROR(L21/J21,0)</f>
        <v/>
      </c>
      <c r="N21" s="7" t="inlineStr">
        <is>
          <t>Automation 6 · Manual 2</t>
        </is>
      </c>
    </row>
    <row r="22" ht="30" customHeight="1">
      <c r="B22" s="7" t="inlineStr">
        <is>
          <t>Xóa khách hàng</t>
        </is>
      </c>
      <c r="C22" s="20" t="inlineStr">
        <is>
          <t>High</t>
        </is>
      </c>
      <c r="D22" s="20">
        <f>COUNTIF('Test Log'!$D:$D,$B22)</f>
        <v/>
      </c>
      <c r="E22" s="20">
        <f>COUNTIFS('Test Log'!$D:$D,$B22,'Test Log'!$G:$G,"Passed")</f>
        <v/>
      </c>
      <c r="F22" s="20">
        <f>COUNTIFS('Test Log'!$D:$D,$B22,'Test Log'!$G:$G,"Failed")</f>
        <v/>
      </c>
      <c r="G22" s="20">
        <f>COUNTIFS('Test Log'!$D:$D,$B22,'Test Log'!$G:$G,"Not Executed")</f>
        <v/>
      </c>
      <c r="H22" s="20">
        <f>COUNTIFS('Test Log'!$D:$D,$B22,'Test Log'!$G:$G,"Blocked")</f>
        <v/>
      </c>
      <c r="I22" s="21">
        <f>IFERROR(F22/D22,0)</f>
        <v/>
      </c>
      <c r="J22" s="20">
        <f>COUNTIF('2. Defects Report'!$C:$C,$B22)</f>
        <v/>
      </c>
      <c r="K22" s="20" t="inlineStr">
        <is>
          <t>—</t>
        </is>
      </c>
      <c r="L22" s="20">
        <f>COUNTIFS('2. Defects Report'!$C:$C,$B22,'2. Defects Report'!$M:$M,"Fixed")</f>
        <v/>
      </c>
      <c r="M22" s="22">
        <f>IFERROR(L22/J22,0)</f>
        <v/>
      </c>
      <c r="N22" s="7" t="inlineStr">
        <is>
          <t>Automation 4 · Manual 1</t>
        </is>
      </c>
    </row>
    <row r="23" ht="30" customHeight="1">
      <c r="B23" s="7" t="inlineStr">
        <is>
          <t>Báo giá thương mại</t>
        </is>
      </c>
      <c r="C23" s="20" t="inlineStr">
        <is>
          <t>High</t>
        </is>
      </c>
      <c r="D23" s="20">
        <f>COUNTIF('Test Log'!$D:$D,$B23)</f>
        <v/>
      </c>
      <c r="E23" s="20">
        <f>COUNTIFS('Test Log'!$D:$D,$B23,'Test Log'!$G:$G,"Passed")</f>
        <v/>
      </c>
      <c r="F23" s="20">
        <f>COUNTIFS('Test Log'!$D:$D,$B23,'Test Log'!$G:$G,"Failed")</f>
        <v/>
      </c>
      <c r="G23" s="20">
        <f>COUNTIFS('Test Log'!$D:$D,$B23,'Test Log'!$G:$G,"Not Executed")</f>
        <v/>
      </c>
      <c r="H23" s="20">
        <f>COUNTIFS('Test Log'!$D:$D,$B23,'Test Log'!$G:$G,"Blocked")</f>
        <v/>
      </c>
      <c r="I23" s="21">
        <f>IFERROR(F23/D23,0)</f>
        <v/>
      </c>
      <c r="J23" s="20">
        <f>COUNTIF('2. Defects Report'!$C:$C,$B23)</f>
        <v/>
      </c>
      <c r="K23" s="20" t="inlineStr">
        <is>
          <t>—</t>
        </is>
      </c>
      <c r="L23" s="20">
        <f>COUNTIFS('2. Defects Report'!$C:$C,$B23,'2. Defects Report'!$M:$M,"Fixed")</f>
        <v/>
      </c>
      <c r="M23" s="22">
        <f>IFERROR(L23/J23,0)</f>
        <v/>
      </c>
      <c r="N23" s="7" t="inlineStr">
        <is>
          <t>Automation 11 · Manual 2</t>
        </is>
      </c>
    </row>
    <row r="24" ht="30" customHeight="1">
      <c r="B24" s="7" t="inlineStr">
        <is>
          <t>Hóa đơn bán hàng chuẩn</t>
        </is>
      </c>
      <c r="C24" s="20" t="inlineStr">
        <is>
          <t>High</t>
        </is>
      </c>
      <c r="D24" s="20">
        <f>COUNTIF('Test Log'!$D:$D,$B24)</f>
        <v/>
      </c>
      <c r="E24" s="20">
        <f>COUNTIFS('Test Log'!$D:$D,$B24,'Test Log'!$G:$G,"Passed")</f>
        <v/>
      </c>
      <c r="F24" s="20">
        <f>COUNTIFS('Test Log'!$D:$D,$B24,'Test Log'!$G:$G,"Failed")</f>
        <v/>
      </c>
      <c r="G24" s="20">
        <f>COUNTIFS('Test Log'!$D:$D,$B24,'Test Log'!$G:$G,"Not Executed")</f>
        <v/>
      </c>
      <c r="H24" s="20">
        <f>COUNTIFS('Test Log'!$D:$D,$B24,'Test Log'!$G:$G,"Blocked")</f>
        <v/>
      </c>
      <c r="I24" s="21">
        <f>IFERROR(F24/D24,0)</f>
        <v/>
      </c>
      <c r="J24" s="20">
        <f>COUNTIF('2. Defects Report'!$C:$C,$B24)</f>
        <v/>
      </c>
      <c r="K24" s="20" t="inlineStr">
        <is>
          <t>—</t>
        </is>
      </c>
      <c r="L24" s="20">
        <f>COUNTIFS('2. Defects Report'!$C:$C,$B24,'2. Defects Report'!$M:$M,"Fixed")</f>
        <v/>
      </c>
      <c r="M24" s="22">
        <f>IFERROR(L24/J24,0)</f>
        <v/>
      </c>
      <c r="N24" s="7" t="inlineStr">
        <is>
          <t>Automation 8 · Manual 1</t>
        </is>
      </c>
    </row>
    <row r="25" ht="30" customHeight="1">
      <c r="B25" s="7" t="inlineStr">
        <is>
          <t>Hóa đơn đặc biệt</t>
        </is>
      </c>
      <c r="C25" s="20" t="inlineStr">
        <is>
          <t>High</t>
        </is>
      </c>
      <c r="D25" s="20">
        <f>COUNTIF('Test Log'!$D:$D,$B25)</f>
        <v/>
      </c>
      <c r="E25" s="20">
        <f>COUNTIFS('Test Log'!$D:$D,$B25,'Test Log'!$G:$G,"Passed")</f>
        <v/>
      </c>
      <c r="F25" s="20">
        <f>COUNTIFS('Test Log'!$D:$D,$B25,'Test Log'!$G:$G,"Failed")</f>
        <v/>
      </c>
      <c r="G25" s="20">
        <f>COUNTIFS('Test Log'!$D:$D,$B25,'Test Log'!$G:$G,"Not Executed")</f>
        <v/>
      </c>
      <c r="H25" s="20">
        <f>COUNTIFS('Test Log'!$D:$D,$B25,'Test Log'!$G:$G,"Blocked")</f>
        <v/>
      </c>
      <c r="I25" s="21">
        <f>IFERROR(F25/D25,0)</f>
        <v/>
      </c>
      <c r="J25" s="20">
        <f>COUNTIF('2. Defects Report'!$C:$C,$B25)</f>
        <v/>
      </c>
      <c r="K25" s="20" t="inlineStr">
        <is>
          <t>—</t>
        </is>
      </c>
      <c r="L25" s="20">
        <f>COUNTIFS('2. Defects Report'!$C:$C,$B25,'2. Defects Report'!$M:$M,"Fixed")</f>
        <v/>
      </c>
      <c r="M25" s="22">
        <f>IFERROR(L25/J25,0)</f>
        <v/>
      </c>
      <c r="N25" s="7" t="inlineStr">
        <is>
          <t>Automation 2 · Manual 17</t>
        </is>
      </c>
    </row>
    <row r="26" ht="30" customHeight="1">
      <c r="B26" s="7" t="inlineStr">
        <is>
          <t>Trừ kho tự động theo hóa đơn</t>
        </is>
      </c>
      <c r="C26" s="20" t="inlineStr">
        <is>
          <t>High</t>
        </is>
      </c>
      <c r="D26" s="20">
        <f>COUNTIF('Test Log'!$D:$D,$B26)</f>
        <v/>
      </c>
      <c r="E26" s="20">
        <f>COUNTIFS('Test Log'!$D:$D,$B26,'Test Log'!$G:$G,"Passed")</f>
        <v/>
      </c>
      <c r="F26" s="20">
        <f>COUNTIFS('Test Log'!$D:$D,$B26,'Test Log'!$G:$G,"Failed")</f>
        <v/>
      </c>
      <c r="G26" s="20">
        <f>COUNTIFS('Test Log'!$D:$D,$B26,'Test Log'!$G:$G,"Not Executed")</f>
        <v/>
      </c>
      <c r="H26" s="20">
        <f>COUNTIFS('Test Log'!$D:$D,$B26,'Test Log'!$G:$G,"Blocked")</f>
        <v/>
      </c>
      <c r="I26" s="21">
        <f>IFERROR(F26/D26,0)</f>
        <v/>
      </c>
      <c r="J26" s="20">
        <f>COUNTIF('2. Defects Report'!$C:$C,$B26)</f>
        <v/>
      </c>
      <c r="K26" s="20" t="inlineStr">
        <is>
          <t>—</t>
        </is>
      </c>
      <c r="L26" s="20">
        <f>COUNTIFS('2. Defects Report'!$C:$C,$B26,'2. Defects Report'!$M:$M,"Fixed")</f>
        <v/>
      </c>
      <c r="M26" s="22">
        <f>IFERROR(L26/J26,0)</f>
        <v/>
      </c>
      <c r="N26" s="7" t="inlineStr">
        <is>
          <t>Automation 4 · Manual 1</t>
        </is>
      </c>
    </row>
    <row r="27" ht="30" customHeight="1">
      <c r="B27" s="7" t="inlineStr">
        <is>
          <t>Điều chỉnh tồn kho thủ công</t>
        </is>
      </c>
      <c r="C27" s="20" t="inlineStr">
        <is>
          <t>High</t>
        </is>
      </c>
      <c r="D27" s="20">
        <f>COUNTIF('Test Log'!$D:$D,$B27)</f>
        <v/>
      </c>
      <c r="E27" s="20">
        <f>COUNTIFS('Test Log'!$D:$D,$B27,'Test Log'!$G:$G,"Passed")</f>
        <v/>
      </c>
      <c r="F27" s="20">
        <f>COUNTIFS('Test Log'!$D:$D,$B27,'Test Log'!$G:$G,"Failed")</f>
        <v/>
      </c>
      <c r="G27" s="20">
        <f>COUNTIFS('Test Log'!$D:$D,$B27,'Test Log'!$G:$G,"Not Executed")</f>
        <v/>
      </c>
      <c r="H27" s="20">
        <f>COUNTIFS('Test Log'!$D:$D,$B27,'Test Log'!$G:$G,"Blocked")</f>
        <v/>
      </c>
      <c r="I27" s="21">
        <f>IFERROR(F27/D27,0)</f>
        <v/>
      </c>
      <c r="J27" s="20">
        <f>COUNTIF('2. Defects Report'!$C:$C,$B27)</f>
        <v/>
      </c>
      <c r="K27" s="20" t="inlineStr">
        <is>
          <t>—</t>
        </is>
      </c>
      <c r="L27" s="20">
        <f>COUNTIFS('2. Defects Report'!$C:$C,$B27,'2. Defects Report'!$M:$M,"Fixed")</f>
        <v/>
      </c>
      <c r="M27" s="22">
        <f>IFERROR(L27/J27,0)</f>
        <v/>
      </c>
      <c r="N27" s="7" t="inlineStr">
        <is>
          <t>Automation 3 · Manual 11</t>
        </is>
      </c>
    </row>
    <row r="28" ht="30" customHeight="1">
      <c r="B28" s="7" t="inlineStr">
        <is>
          <t>Cảnh báo tồn kho tối thiểu</t>
        </is>
      </c>
      <c r="C28" s="20" t="inlineStr">
        <is>
          <t>High</t>
        </is>
      </c>
      <c r="D28" s="20">
        <f>COUNTIF('Test Log'!$D:$D,$B28)</f>
        <v/>
      </c>
      <c r="E28" s="20">
        <f>COUNTIFS('Test Log'!$D:$D,$B28,'Test Log'!$G:$G,"Passed")</f>
        <v/>
      </c>
      <c r="F28" s="20">
        <f>COUNTIFS('Test Log'!$D:$D,$B28,'Test Log'!$G:$G,"Failed")</f>
        <v/>
      </c>
      <c r="G28" s="20">
        <f>COUNTIFS('Test Log'!$D:$D,$B28,'Test Log'!$G:$G,"Not Executed")</f>
        <v/>
      </c>
      <c r="H28" s="20">
        <f>COUNTIFS('Test Log'!$D:$D,$B28,'Test Log'!$G:$G,"Blocked")</f>
        <v/>
      </c>
      <c r="I28" s="21">
        <f>IFERROR(F28/D28,0)</f>
        <v/>
      </c>
      <c r="J28" s="20">
        <f>COUNTIF('2. Defects Report'!$C:$C,$B28)</f>
        <v/>
      </c>
      <c r="K28" s="20" t="inlineStr">
        <is>
          <t>—</t>
        </is>
      </c>
      <c r="L28" s="20">
        <f>COUNTIFS('2. Defects Report'!$C:$C,$B28,'2. Defects Report'!$M:$M,"Fixed")</f>
        <v/>
      </c>
      <c r="M28" s="22">
        <f>IFERROR(L28/J28,0)</f>
        <v/>
      </c>
      <c r="N28" s="7" t="inlineStr">
        <is>
          <t>Automation 2 · Manual 6</t>
        </is>
      </c>
    </row>
    <row r="29" ht="22" customHeight="1">
      <c r="B29" s="23" t="inlineStr">
        <is>
          <t>TOTAL</t>
        </is>
      </c>
      <c r="C29" s="24" t="inlineStr"/>
      <c r="D29" s="24">
        <f>SUM(D19:D28)</f>
        <v/>
      </c>
      <c r="E29" s="24">
        <f>SUM(E19:E28)</f>
        <v/>
      </c>
      <c r="F29" s="24">
        <f>SUM(F19:F28)</f>
        <v/>
      </c>
      <c r="G29" s="24">
        <f>SUM(G19:G28)</f>
        <v/>
      </c>
      <c r="H29" s="24">
        <f>SUM(H19:H28)</f>
        <v/>
      </c>
      <c r="I29" s="25">
        <f>IFERROR(F29/D29,0)</f>
        <v/>
      </c>
      <c r="J29" s="24">
        <f>SUM(J19:J28)</f>
        <v/>
      </c>
      <c r="K29" s="24" t="n">
        <v>4258</v>
      </c>
      <c r="L29" s="24">
        <f>SUM(L19:L28)</f>
        <v/>
      </c>
      <c r="M29" s="26">
        <f>IFERROR(L29/J29,0)</f>
        <v/>
      </c>
      <c r="N29" s="23" t="inlineStr">
        <is>
          <t>4.258 dòng code C# (bỏ trống &amp; comment) đo trên 27 files POM &amp; Test Methods.</t>
        </is>
      </c>
    </row>
    <row r="31" ht="20" customHeight="1">
      <c r="B31" s="4" t="inlineStr">
        <is>
          <t>CHARTS</t>
        </is>
      </c>
      <c r="C31" s="30" t="n"/>
      <c r="D31" s="30" t="n"/>
      <c r="E31" s="30" t="n"/>
      <c r="F31" s="30" t="n"/>
      <c r="G31" s="30" t="n"/>
      <c r="H31" s="30" t="n"/>
      <c r="I31" s="30" t="n"/>
      <c r="J31" s="30" t="n"/>
      <c r="K31" s="30" t="n"/>
      <c r="L31" s="30" t="n"/>
      <c r="M31" s="30" t="n"/>
      <c r="N31" s="31" t="n"/>
    </row>
    <row r="50" ht="30" customHeight="1">
      <c r="B50" s="27" t="inlineStr">
        <is>
          <t>Ghi chú: Số liệu là công thức tính từ sheet Test Log, tự cập nhật khi đổi trạng thái. TC Manual giữ "Not Executed" cho đến khi người kiểm thử thực thi và ghi Actual Result.</t>
        </is>
      </c>
    </row>
  </sheetData>
  <mergeCells count="14">
    <mergeCell ref="E10:G10"/>
    <mergeCell ref="C6:N6"/>
    <mergeCell ref="E13:G13"/>
    <mergeCell ref="E11:G11"/>
    <mergeCell ref="E14:G14"/>
    <mergeCell ref="B31:N31"/>
    <mergeCell ref="B8:N8"/>
    <mergeCell ref="B4:N4"/>
    <mergeCell ref="C5:N5"/>
    <mergeCell ref="B50:N50"/>
    <mergeCell ref="E9:G9"/>
    <mergeCell ref="E12:G12"/>
    <mergeCell ref="E15:G15"/>
    <mergeCell ref="B2:N2"/>
  </mergeCells>
  <pageMargins left="0.4" right="0.4" top="1" bottom="1" header="0.5" footer="0.5"/>
  <pageSetup orientation="landscape" paperSize="9" fitToHeight="0"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B2:Q5"/>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6" customWidth="1" min="2" max="2"/>
    <col width="26" customWidth="1" min="3" max="3"/>
    <col width="11" customWidth="1" min="4" max="4"/>
    <col width="36" customWidth="1" min="5" max="5"/>
    <col width="44" customWidth="1" min="6" max="6"/>
    <col width="28" customWidth="1" min="7" max="7"/>
    <col width="36" customWidth="1" min="8" max="8"/>
    <col width="36" customWidth="1" min="9" max="9"/>
    <col width="16" customWidth="1" min="10" max="10"/>
    <col width="11" customWidth="1" min="11" max="11"/>
    <col width="11" customWidth="1" min="12" max="12"/>
    <col width="20" customWidth="1" min="13" max="13"/>
    <col width="13" customWidth="1" min="14" max="14"/>
    <col width="14" customWidth="1" min="15" max="15"/>
    <col width="14" customWidth="1" min="16" max="16"/>
    <col width="14" customWidth="1" min="17" max="17"/>
  </cols>
  <sheetData>
    <row r="2" ht="30" customHeight="1">
      <c r="B2" s="28" t="inlineStr">
        <is>
          <t>DEFECTS REPORT</t>
        </is>
      </c>
    </row>
    <row r="4" ht="32" customHeight="1">
      <c r="B4" s="9" t="inlineStr">
        <is>
          <t>No.</t>
        </is>
      </c>
      <c r="C4" s="9" t="inlineStr">
        <is>
          <t>Test Subject</t>
        </is>
      </c>
      <c r="D4" s="9" t="inlineStr">
        <is>
          <t>Defect ID</t>
        </is>
      </c>
      <c r="E4" s="9" t="inlineStr">
        <is>
          <t>Title</t>
        </is>
      </c>
      <c r="F4" s="9" t="inlineStr">
        <is>
          <t>Steps to Reproduce</t>
        </is>
      </c>
      <c r="G4" s="9" t="inlineStr">
        <is>
          <t>Evidences</t>
        </is>
      </c>
      <c r="H4" s="9" t="inlineStr">
        <is>
          <t>Ghi chú / nguyên nhân</t>
        </is>
      </c>
      <c r="I4" s="9" t="inlineStr">
        <is>
          <t>Expected Result</t>
        </is>
      </c>
      <c r="J4" s="9" t="inlineStr">
        <is>
          <t>Actual Result</t>
        </is>
      </c>
      <c r="K4" s="9" t="inlineStr">
        <is>
          <t>Priority</t>
        </is>
      </c>
      <c r="L4" s="9" t="inlineStr">
        <is>
          <t>Severity</t>
        </is>
      </c>
      <c r="M4" s="9" t="inlineStr">
        <is>
          <t>Status</t>
        </is>
      </c>
      <c r="N4" s="9" t="inlineStr">
        <is>
          <t>Raised By</t>
        </is>
      </c>
      <c r="O4" s="9" t="inlineStr">
        <is>
          <t>Raised Date</t>
        </is>
      </c>
      <c r="P4" s="9" t="inlineStr">
        <is>
          <t>Tested on build version</t>
        </is>
      </c>
      <c r="Q4" s="9" t="inlineStr">
        <is>
          <t>Testcases Referred</t>
        </is>
      </c>
    </row>
    <row r="5" ht="141" customHeight="1">
      <c r="B5" s="10" t="n">
        <v>1</v>
      </c>
      <c r="C5" s="10" t="inlineStr">
        <is>
          <t>Tạo khách hàng mới</t>
        </is>
      </c>
      <c r="D5" s="10" t="inlineStr">
        <is>
          <t>BUG_001</t>
        </is>
      </c>
      <c r="E5" s="10" t="inlineStr">
        <is>
          <t>Redirect sau khi tạo KH chứa placeholder id=__ID__</t>
        </is>
      </c>
      <c r="F5" s="10" t="inlineStr">
        <is>
          <t>1. Mở /societe/card.php?action=create
2. Nhập tên KH bất kỳ, chọn loại Khách hàng (customer=1)
3. Nhấn Lưu (Save)</t>
        </is>
      </c>
      <c r="G5" s="10" t="inlineStr">
        <is>
          <t>evidence/automation/TC_CRM_010_fail_bug001.png</t>
        </is>
      </c>
      <c r="H5" s="10" t="inlineStr">
        <is>
          <t>Mã nguồn Dolibarr 22.0.4 (htdocs/societe/card.php dòng 204 và 644-648): biến backtopage gán mặc định .../societe/card.php?id=__ID__. Khi redirect, code dùng preg_replace(/--IDFORBACKTOPAGE--/, ...) thay vì __ID__, rồi nối thêm &amp;socid={id}, khiến __ID__ bị giữ nguyên trên URL. Ảnh hưởng: không mất dữ liệu nhưng sai URL chuẩn và có thể gây lỗi khi bookmark hoặc quay lại trang.</t>
        </is>
      </c>
      <c r="I5" s="10" t="inlineStr">
        <is>
          <t>URL chuyển hướng phải là http://localhost/dolibarr/societe/card.php?socid={id} theo đặc tả UC-02 §4, không chứa placeholder __ID__.</t>
        </is>
      </c>
      <c r="J5" s="10" t="inlineStr">
        <is>
          <t>URL chuyển hướng thực tế: http://localhost/dolibarr/societe/card.php?id=__ID__&amp;socid=109. Placeholder id=__ID__ không được thay thế bằng ID số thực tế.</t>
        </is>
      </c>
      <c r="K5" s="10" t="inlineStr">
        <is>
          <t>P2 (Medium)</t>
        </is>
      </c>
      <c r="L5" s="10" t="inlineStr">
        <is>
          <t>Minor</t>
        </is>
      </c>
      <c r="M5" s="10" t="inlineStr">
        <is>
          <t>New</t>
        </is>
      </c>
      <c r="N5" s="10" t="inlineStr">
        <is>
          <t>Đặng Hải Phi (23DH112608)</t>
        </is>
      </c>
      <c r="O5" s="10" t="inlineStr">
        <is>
          <t>2026-10-05</t>
        </is>
      </c>
      <c r="P5" s="10" t="inlineStr">
        <is>
          <t>Dolibarr 22.0.4</t>
        </is>
      </c>
      <c r="Q5" s="10" t="inlineStr">
        <is>
          <t>TC_CRM_010</t>
        </is>
      </c>
    </row>
  </sheetData>
  <mergeCells count="1">
    <mergeCell ref="B2:Q2"/>
  </mergeCells>
  <pageMargins left="0.4" right="0.4"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B1:D4"/>
  <sheetViews>
    <sheetView showGridLines="0" workbookViewId="0">
      <selection activeCell="A1" sqref="A1"/>
    </sheetView>
  </sheetViews>
  <sheetFormatPr baseColWidth="8" defaultRowHeight="15"/>
  <cols>
    <col width="3" customWidth="1" min="1" max="1"/>
    <col width="14" customWidth="1" min="2" max="2"/>
    <col width="40" customWidth="1" min="3" max="3"/>
    <col width="60" customWidth="1" min="4" max="4"/>
  </cols>
  <sheetData>
    <row r="1">
      <c r="B1" s="29" t="inlineStr">
        <is>
          <t>EVIDENCE — Minh chứng kiểm thử</t>
        </is>
      </c>
    </row>
    <row r="3" ht="32" customHeight="1">
      <c r="B3" s="9" t="inlineStr">
        <is>
          <t>Defect / TC</t>
        </is>
      </c>
      <c r="C3" s="9" t="inlineStr">
        <is>
          <t>Đường dẫn minh chứng (trong repo)</t>
        </is>
      </c>
      <c r="D3" s="9" t="inlineStr">
        <is>
          <t>Ghi chú</t>
        </is>
      </c>
    </row>
    <row r="4">
      <c r="B4" s="7" t="inlineStr">
        <is>
          <t>BUG_001</t>
        </is>
      </c>
      <c r="C4" s="7" t="inlineStr">
        <is>
          <t>evidence/automation/TC_CRM_010_fail_bug001.png</t>
        </is>
      </c>
      <c r="D4" s="7" t="inlineStr">
        <is>
          <t>Đã tải ảnh từ repo</t>
        </is>
      </c>
    </row>
  </sheetData>
  <mergeCells count="1">
    <mergeCell ref="B1:D1"/>
  </mergeCells>
  <pageMargins left="0.4" right="0.4" top="1" bottom="1" header="0.5" footer="0.5"/>
  <pageSetup orientation="landscape" paperSize="9" fitToHeight="0" fitToWidth="1"/>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H10"/>
  <sheetViews>
    <sheetView showGridLines="0" workbookViewId="0">
      <selection activeCell="A1" sqref="A1"/>
    </sheetView>
  </sheetViews>
  <sheetFormatPr baseColWidth="8" defaultRowHeight="15"/>
  <cols>
    <col width="16" customWidth="1" min="1" max="1"/>
    <col width="12" customWidth="1" min="2" max="2"/>
    <col width="12" customWidth="1" min="3" max="3"/>
    <col width="14" customWidth="1" min="4" max="4"/>
    <col width="12" customWidth="1" min="5" max="5"/>
    <col width="4" customWidth="1" min="6" max="6"/>
    <col width="14" customWidth="1" min="7" max="7"/>
    <col width="12" customWidth="1" min="8" max="8"/>
  </cols>
  <sheetData>
    <row r="1" ht="32" customHeight="1">
      <c r="A1" s="9" t="inlineStr">
        <is>
          <t>Module</t>
        </is>
      </c>
      <c r="B1" s="9" t="inlineStr">
        <is>
          <t>Passed</t>
        </is>
      </c>
      <c r="C1" s="9" t="inlineStr">
        <is>
          <t>Failed</t>
        </is>
      </c>
      <c r="D1" s="9" t="inlineStr">
        <is>
          <t>Not Executed</t>
        </is>
      </c>
      <c r="E1" s="9" t="inlineStr">
        <is>
          <t>Blocked</t>
        </is>
      </c>
      <c r="G1" s="9" t="inlineStr">
        <is>
          <t>Severity</t>
        </is>
      </c>
      <c r="H1" s="9" t="inlineStr">
        <is>
          <t>Count</t>
        </is>
      </c>
    </row>
    <row r="2">
      <c r="A2" s="18" t="inlineStr">
        <is>
          <t>CRM</t>
        </is>
      </c>
      <c r="B2" s="18">
        <f>COUNTIFS('Test Log'!$B:$B,$A2,'Test Log'!$G:$G,"Passed")</f>
        <v/>
      </c>
      <c r="C2" s="18">
        <f>COUNTIFS('Test Log'!$B:$B,$A2,'Test Log'!$G:$G,"Failed")</f>
        <v/>
      </c>
      <c r="D2" s="18">
        <f>COUNTIFS('Test Log'!$B:$B,$A2,'Test Log'!$G:$G,"Not Executed")</f>
        <v/>
      </c>
      <c r="E2" s="18">
        <f>COUNTIFS('Test Log'!$B:$B,$A2,'Test Log'!$G:$G,"Blocked")</f>
        <v/>
      </c>
      <c r="G2" s="18" t="inlineStr">
        <is>
          <t>Critical</t>
        </is>
      </c>
      <c r="H2" s="18">
        <f>COUNTIF('2. Defects Report'!$L:$L,"Critical")</f>
        <v/>
      </c>
    </row>
    <row r="3">
      <c r="A3" s="18" t="inlineStr">
        <is>
          <t>Sales</t>
        </is>
      </c>
      <c r="B3" s="18">
        <f>COUNTIFS('Test Log'!$B:$B,$A3,'Test Log'!$G:$G,"Passed")</f>
        <v/>
      </c>
      <c r="C3" s="18">
        <f>COUNTIFS('Test Log'!$B:$B,$A3,'Test Log'!$G:$G,"Failed")</f>
        <v/>
      </c>
      <c r="D3" s="18">
        <f>COUNTIFS('Test Log'!$B:$B,$A3,'Test Log'!$G:$G,"Not Executed")</f>
        <v/>
      </c>
      <c r="E3" s="18">
        <f>COUNTIFS('Test Log'!$B:$B,$A3,'Test Log'!$G:$G,"Blocked")</f>
        <v/>
      </c>
      <c r="G3" s="18" t="inlineStr">
        <is>
          <t>High</t>
        </is>
      </c>
      <c r="H3" s="18">
        <f>COUNTIF('2. Defects Report'!$L:$L,"High")</f>
        <v/>
      </c>
    </row>
    <row r="4">
      <c r="A4" s="18" t="inlineStr">
        <is>
          <t>Stock</t>
        </is>
      </c>
      <c r="B4" s="18">
        <f>COUNTIFS('Test Log'!$B:$B,$A4,'Test Log'!$G:$G,"Passed")</f>
        <v/>
      </c>
      <c r="C4" s="18">
        <f>COUNTIFS('Test Log'!$B:$B,$A4,'Test Log'!$G:$G,"Failed")</f>
        <v/>
      </c>
      <c r="D4" s="18">
        <f>COUNTIFS('Test Log'!$B:$B,$A4,'Test Log'!$G:$G,"Not Executed")</f>
        <v/>
      </c>
      <c r="E4" s="18">
        <f>COUNTIFS('Test Log'!$B:$B,$A4,'Test Log'!$G:$G,"Blocked")</f>
        <v/>
      </c>
      <c r="G4" s="18" t="inlineStr">
        <is>
          <t>Medium</t>
        </is>
      </c>
      <c r="H4" s="18">
        <f>COUNTIF('2. Defects Report'!$L:$L,"Medium")</f>
        <v/>
      </c>
    </row>
    <row r="5">
      <c r="G5" s="18" t="inlineStr">
        <is>
          <t>Minor</t>
        </is>
      </c>
      <c r="H5" s="18">
        <f>COUNTIF('2. Defects Report'!$L:$L,"Minor")</f>
        <v/>
      </c>
    </row>
    <row r="6" ht="32" customHeight="1">
      <c r="A6" s="9" t="inlineStr">
        <is>
          <t>Status</t>
        </is>
      </c>
      <c r="B6" s="9" t="inlineStr">
        <is>
          <t>Count</t>
        </is>
      </c>
    </row>
    <row r="7">
      <c r="A7" s="18" t="inlineStr">
        <is>
          <t>Passed</t>
        </is>
      </c>
      <c r="B7" s="18">
        <f>COUNTIF('Test Log'!$G:$G,A7)</f>
        <v/>
      </c>
    </row>
    <row r="8">
      <c r="A8" s="18" t="inlineStr">
        <is>
          <t>Failed</t>
        </is>
      </c>
      <c r="B8" s="18">
        <f>COUNTIF('Test Log'!$G:$G,A8)</f>
        <v/>
      </c>
    </row>
    <row r="9">
      <c r="A9" s="18" t="inlineStr">
        <is>
          <t>Not Executed</t>
        </is>
      </c>
      <c r="B9" s="18">
        <f>COUNTIF('Test Log'!$G:$G,A9)</f>
        <v/>
      </c>
    </row>
    <row r="10">
      <c r="A10" s="18" t="inlineStr">
        <is>
          <t>Blocked</t>
        </is>
      </c>
      <c r="B10" s="18">
        <f>COUNTIF('Test Log'!$G:$G,A10)</f>
        <v/>
      </c>
    </row>
  </sheetData>
  <pageMargins left="0.4" right="0.4"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I101"/>
  <sheetViews>
    <sheetView showGridLines="0"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32" customWidth="1" min="4" max="4"/>
    <col width="12" customWidth="1" min="5" max="5"/>
    <col width="12" customWidth="1" min="6" max="6"/>
    <col width="14" customWidth="1" min="7" max="7"/>
    <col width="10" customWidth="1" min="8" max="8"/>
    <col width="14" customWidth="1" min="9" max="9"/>
  </cols>
  <sheetData>
    <row r="1" ht="32" customHeight="1">
      <c r="A1" s="9" t="inlineStr">
        <is>
          <t>Test ID</t>
        </is>
      </c>
      <c r="B1" s="9" t="inlineStr">
        <is>
          <t>Module</t>
        </is>
      </c>
      <c r="C1" s="9" t="inlineStr">
        <is>
          <t>Function ID</t>
        </is>
      </c>
      <c r="D1" s="9" t="inlineStr">
        <is>
          <t>Function name</t>
        </is>
      </c>
      <c r="E1" s="9" t="inlineStr">
        <is>
          <t>Execution</t>
        </is>
      </c>
      <c r="F1" s="9" t="inlineStr">
        <is>
          <t>Priority</t>
        </is>
      </c>
      <c r="G1" s="9" t="inlineStr">
        <is>
          <t>Status</t>
        </is>
      </c>
      <c r="H1" s="9" t="inlineStr">
        <is>
          <t>Bug ID</t>
        </is>
      </c>
      <c r="I1" s="9" t="inlineStr">
        <is>
          <t>Run date</t>
        </is>
      </c>
    </row>
    <row r="2">
      <c r="A2" s="7" t="inlineStr">
        <is>
          <t>TC_CRM_005</t>
        </is>
      </c>
      <c r="B2" s="7" t="inlineStr">
        <is>
          <t>CRM</t>
        </is>
      </c>
      <c r="C2" s="7" t="inlineStr">
        <is>
          <t>F-CRM-01</t>
        </is>
      </c>
      <c r="D2" s="7" t="inlineStr">
        <is>
          <t>Tạo khách hàng mới</t>
        </is>
      </c>
      <c r="E2" s="7" t="inlineStr">
        <is>
          <t>Auto</t>
        </is>
      </c>
      <c r="F2" s="7" t="inlineStr">
        <is>
          <t>P1</t>
        </is>
      </c>
      <c r="G2" s="7" t="inlineStr">
        <is>
          <t>Passed</t>
        </is>
      </c>
      <c r="H2" s="7" t="inlineStr"/>
      <c r="I2" s="7" t="inlineStr">
        <is>
          <t>2026-10-07</t>
        </is>
      </c>
    </row>
    <row r="3">
      <c r="A3" s="7" t="inlineStr">
        <is>
          <t>TC_CRM_006</t>
        </is>
      </c>
      <c r="B3" s="7" t="inlineStr">
        <is>
          <t>CRM</t>
        </is>
      </c>
      <c r="C3" s="7" t="inlineStr">
        <is>
          <t>F-CRM-01</t>
        </is>
      </c>
      <c r="D3" s="7" t="inlineStr">
        <is>
          <t>Tạo khách hàng mới</t>
        </is>
      </c>
      <c r="E3" s="7" t="inlineStr">
        <is>
          <t>Auto</t>
        </is>
      </c>
      <c r="F3" s="7" t="inlineStr">
        <is>
          <t>P1</t>
        </is>
      </c>
      <c r="G3" s="7" t="inlineStr">
        <is>
          <t>Passed</t>
        </is>
      </c>
      <c r="H3" s="7" t="inlineStr"/>
      <c r="I3" s="7" t="inlineStr">
        <is>
          <t>2026-10-07</t>
        </is>
      </c>
    </row>
    <row r="4">
      <c r="A4" s="7" t="inlineStr">
        <is>
          <t>TC_CRM_007</t>
        </is>
      </c>
      <c r="B4" s="7" t="inlineStr">
        <is>
          <t>CRM</t>
        </is>
      </c>
      <c r="C4" s="7" t="inlineStr">
        <is>
          <t>F-CRM-01</t>
        </is>
      </c>
      <c r="D4" s="7" t="inlineStr">
        <is>
          <t>Tạo khách hàng mới</t>
        </is>
      </c>
      <c r="E4" s="7" t="inlineStr">
        <is>
          <t>Auto</t>
        </is>
      </c>
      <c r="F4" s="7" t="inlineStr">
        <is>
          <t>P1</t>
        </is>
      </c>
      <c r="G4" s="7" t="inlineStr">
        <is>
          <t>Passed</t>
        </is>
      </c>
      <c r="H4" s="7" t="inlineStr"/>
      <c r="I4" s="7" t="inlineStr">
        <is>
          <t>2026-10-07</t>
        </is>
      </c>
    </row>
    <row r="5">
      <c r="A5" s="7" t="inlineStr">
        <is>
          <t>TC_CRM_008</t>
        </is>
      </c>
      <c r="B5" s="7" t="inlineStr">
        <is>
          <t>CRM</t>
        </is>
      </c>
      <c r="C5" s="7" t="inlineStr">
        <is>
          <t>F-CRM-01</t>
        </is>
      </c>
      <c r="D5" s="7" t="inlineStr">
        <is>
          <t>Tạo khách hàng mới</t>
        </is>
      </c>
      <c r="E5" s="7" t="inlineStr">
        <is>
          <t>Auto</t>
        </is>
      </c>
      <c r="F5" s="7" t="inlineStr">
        <is>
          <t>P2</t>
        </is>
      </c>
      <c r="G5" s="7" t="inlineStr">
        <is>
          <t>Passed</t>
        </is>
      </c>
      <c r="H5" s="7" t="inlineStr"/>
      <c r="I5" s="7" t="inlineStr">
        <is>
          <t>2026-10-07</t>
        </is>
      </c>
    </row>
    <row r="6">
      <c r="A6" s="7" t="inlineStr">
        <is>
          <t>TC_CRM_009</t>
        </is>
      </c>
      <c r="B6" s="7" t="inlineStr">
        <is>
          <t>CRM</t>
        </is>
      </c>
      <c r="C6" s="7" t="inlineStr">
        <is>
          <t>F-CRM-01</t>
        </is>
      </c>
      <c r="D6" s="7" t="inlineStr">
        <is>
          <t>Tạo khách hàng mới</t>
        </is>
      </c>
      <c r="E6" s="7" t="inlineStr">
        <is>
          <t>Auto</t>
        </is>
      </c>
      <c r="F6" s="7" t="inlineStr">
        <is>
          <t>P2</t>
        </is>
      </c>
      <c r="G6" s="7" t="inlineStr">
        <is>
          <t>Passed</t>
        </is>
      </c>
      <c r="H6" s="7" t="inlineStr"/>
      <c r="I6" s="7" t="inlineStr">
        <is>
          <t>2026-10-07</t>
        </is>
      </c>
    </row>
    <row r="7">
      <c r="A7" s="7" t="inlineStr">
        <is>
          <t>TC_CRM_010</t>
        </is>
      </c>
      <c r="B7" s="7" t="inlineStr">
        <is>
          <t>CRM</t>
        </is>
      </c>
      <c r="C7" s="7" t="inlineStr">
        <is>
          <t>F-CRM-01</t>
        </is>
      </c>
      <c r="D7" s="7" t="inlineStr">
        <is>
          <t>Tạo khách hàng mới</t>
        </is>
      </c>
      <c r="E7" s="7" t="inlineStr">
        <is>
          <t>Auto</t>
        </is>
      </c>
      <c r="F7" s="7" t="inlineStr">
        <is>
          <t>P1</t>
        </is>
      </c>
      <c r="G7" s="7" t="inlineStr">
        <is>
          <t>Failed</t>
        </is>
      </c>
      <c r="H7" s="7" t="inlineStr">
        <is>
          <t>BUG_001</t>
        </is>
      </c>
      <c r="I7" s="7" t="inlineStr">
        <is>
          <t>2026-10-07</t>
        </is>
      </c>
    </row>
    <row r="8">
      <c r="A8" s="7" t="inlineStr">
        <is>
          <t>TC_CRM_011</t>
        </is>
      </c>
      <c r="B8" s="7" t="inlineStr">
        <is>
          <t>CRM</t>
        </is>
      </c>
      <c r="C8" s="7" t="inlineStr">
        <is>
          <t>F-CRM-01</t>
        </is>
      </c>
      <c r="D8" s="7" t="inlineStr">
        <is>
          <t>Tạo khách hàng mới</t>
        </is>
      </c>
      <c r="E8" s="7" t="inlineStr">
        <is>
          <t>Auto</t>
        </is>
      </c>
      <c r="F8" s="7" t="inlineStr">
        <is>
          <t>P2</t>
        </is>
      </c>
      <c r="G8" s="7" t="inlineStr">
        <is>
          <t>Passed</t>
        </is>
      </c>
      <c r="H8" s="7" t="inlineStr"/>
      <c r="I8" s="7" t="inlineStr">
        <is>
          <t>2026-10-07</t>
        </is>
      </c>
    </row>
    <row r="9">
      <c r="A9" s="7" t="inlineStr">
        <is>
          <t>TC_CRM_012</t>
        </is>
      </c>
      <c r="B9" s="7" t="inlineStr">
        <is>
          <t>CRM</t>
        </is>
      </c>
      <c r="C9" s="7" t="inlineStr">
        <is>
          <t>F-CRM-02</t>
        </is>
      </c>
      <c r="D9" s="7" t="inlineStr">
        <is>
          <t>Chỉnh sửa thông tin khách hàng</t>
        </is>
      </c>
      <c r="E9" s="7" t="inlineStr">
        <is>
          <t>Auto</t>
        </is>
      </c>
      <c r="F9" s="7" t="inlineStr">
        <is>
          <t>P1</t>
        </is>
      </c>
      <c r="G9" s="7" t="inlineStr">
        <is>
          <t>Passed</t>
        </is>
      </c>
      <c r="H9" s="7" t="inlineStr"/>
      <c r="I9" s="7" t="inlineStr">
        <is>
          <t>2026-10-07</t>
        </is>
      </c>
    </row>
    <row r="10">
      <c r="A10" s="7" t="inlineStr">
        <is>
          <t>TC_CRM_013</t>
        </is>
      </c>
      <c r="B10" s="7" t="inlineStr">
        <is>
          <t>CRM</t>
        </is>
      </c>
      <c r="C10" s="7" t="inlineStr">
        <is>
          <t>F-CRM-03</t>
        </is>
      </c>
      <c r="D10" s="7" t="inlineStr">
        <is>
          <t>Tìm kiếm khách hàng</t>
        </is>
      </c>
      <c r="E10" s="7" t="inlineStr">
        <is>
          <t>Auto</t>
        </is>
      </c>
      <c r="F10" s="7" t="inlineStr">
        <is>
          <t>P1</t>
        </is>
      </c>
      <c r="G10" s="7" t="inlineStr">
        <is>
          <t>Passed</t>
        </is>
      </c>
      <c r="H10" s="7" t="inlineStr"/>
      <c r="I10" s="7" t="inlineStr">
        <is>
          <t>2026-10-07</t>
        </is>
      </c>
    </row>
    <row r="11">
      <c r="A11" s="7" t="inlineStr">
        <is>
          <t>TC_CRM_014</t>
        </is>
      </c>
      <c r="B11" s="7" t="inlineStr">
        <is>
          <t>CRM</t>
        </is>
      </c>
      <c r="C11" s="7" t="inlineStr">
        <is>
          <t>F-CRM-03</t>
        </is>
      </c>
      <c r="D11" s="7" t="inlineStr">
        <is>
          <t>Tìm kiếm khách hàng</t>
        </is>
      </c>
      <c r="E11" s="7" t="inlineStr">
        <is>
          <t>Auto</t>
        </is>
      </c>
      <c r="F11" s="7" t="inlineStr">
        <is>
          <t>P2</t>
        </is>
      </c>
      <c r="G11" s="7" t="inlineStr">
        <is>
          <t>Passed</t>
        </is>
      </c>
      <c r="H11" s="7" t="inlineStr"/>
      <c r="I11" s="7" t="inlineStr">
        <is>
          <t>2026-10-07</t>
        </is>
      </c>
    </row>
    <row r="12">
      <c r="A12" s="7" t="inlineStr">
        <is>
          <t>TC_CRM_015</t>
        </is>
      </c>
      <c r="B12" s="7" t="inlineStr">
        <is>
          <t>CRM</t>
        </is>
      </c>
      <c r="C12" s="7" t="inlineStr">
        <is>
          <t>F-CRM-03</t>
        </is>
      </c>
      <c r="D12" s="7" t="inlineStr">
        <is>
          <t>Tìm kiếm khách hàng</t>
        </is>
      </c>
      <c r="E12" s="7" t="inlineStr">
        <is>
          <t>Auto</t>
        </is>
      </c>
      <c r="F12" s="7" t="inlineStr">
        <is>
          <t>P2</t>
        </is>
      </c>
      <c r="G12" s="7" t="inlineStr">
        <is>
          <t>Passed</t>
        </is>
      </c>
      <c r="H12" s="7" t="inlineStr"/>
      <c r="I12" s="7" t="inlineStr">
        <is>
          <t>2026-10-07</t>
        </is>
      </c>
    </row>
    <row r="13">
      <c r="A13" s="7" t="inlineStr">
        <is>
          <t>TC_CRM_016</t>
        </is>
      </c>
      <c r="B13" s="7" t="inlineStr">
        <is>
          <t>CRM</t>
        </is>
      </c>
      <c r="C13" s="7" t="inlineStr">
        <is>
          <t>F-CRM-04</t>
        </is>
      </c>
      <c r="D13" s="7" t="inlineStr">
        <is>
          <t>Xóa khách hàng</t>
        </is>
      </c>
      <c r="E13" s="7" t="inlineStr">
        <is>
          <t>Auto</t>
        </is>
      </c>
      <c r="F13" s="7" t="inlineStr">
        <is>
          <t>P1</t>
        </is>
      </c>
      <c r="G13" s="7" t="inlineStr">
        <is>
          <t>Passed</t>
        </is>
      </c>
      <c r="H13" s="7" t="inlineStr"/>
      <c r="I13" s="7" t="inlineStr">
        <is>
          <t>2026-10-07</t>
        </is>
      </c>
    </row>
    <row r="14">
      <c r="A14" s="7" t="inlineStr">
        <is>
          <t>TC_CRM_017</t>
        </is>
      </c>
      <c r="B14" s="7" t="inlineStr">
        <is>
          <t>CRM</t>
        </is>
      </c>
      <c r="C14" s="7" t="inlineStr">
        <is>
          <t>F-CRM-01</t>
        </is>
      </c>
      <c r="D14" s="7" t="inlineStr">
        <is>
          <t>Tạo khách hàng mới</t>
        </is>
      </c>
      <c r="E14" s="7" t="inlineStr">
        <is>
          <t>Auto</t>
        </is>
      </c>
      <c r="F14" s="7" t="inlineStr">
        <is>
          <t>P2</t>
        </is>
      </c>
      <c r="G14" s="7" t="inlineStr">
        <is>
          <t>Passed</t>
        </is>
      </c>
      <c r="H14" s="7" t="inlineStr"/>
      <c r="I14" s="7" t="inlineStr">
        <is>
          <t>2026-10-19</t>
        </is>
      </c>
    </row>
    <row r="15">
      <c r="A15" s="7" t="inlineStr">
        <is>
          <t>TC_CRM_018</t>
        </is>
      </c>
      <c r="B15" s="7" t="inlineStr">
        <is>
          <t>CRM</t>
        </is>
      </c>
      <c r="C15" s="7" t="inlineStr">
        <is>
          <t>F-CRM-01</t>
        </is>
      </c>
      <c r="D15" s="7" t="inlineStr">
        <is>
          <t>Tạo khách hàng mới</t>
        </is>
      </c>
      <c r="E15" s="7" t="inlineStr">
        <is>
          <t>Auto</t>
        </is>
      </c>
      <c r="F15" s="7" t="inlineStr">
        <is>
          <t>P2</t>
        </is>
      </c>
      <c r="G15" s="7" t="inlineStr">
        <is>
          <t>Passed</t>
        </is>
      </c>
      <c r="H15" s="7" t="inlineStr"/>
      <c r="I15" s="7" t="inlineStr">
        <is>
          <t>2026-10-19</t>
        </is>
      </c>
    </row>
    <row r="16">
      <c r="A16" s="7" t="inlineStr">
        <is>
          <t>TC_CRM_019</t>
        </is>
      </c>
      <c r="B16" s="7" t="inlineStr">
        <is>
          <t>CRM</t>
        </is>
      </c>
      <c r="C16" s="7" t="inlineStr">
        <is>
          <t>F-CRM-01</t>
        </is>
      </c>
      <c r="D16" s="7" t="inlineStr">
        <is>
          <t>Tạo khách hàng mới</t>
        </is>
      </c>
      <c r="E16" s="7" t="inlineStr">
        <is>
          <t>Auto</t>
        </is>
      </c>
      <c r="F16" s="7" t="inlineStr">
        <is>
          <t>P2</t>
        </is>
      </c>
      <c r="G16" s="7" t="inlineStr">
        <is>
          <t>Passed</t>
        </is>
      </c>
      <c r="H16" s="7" t="inlineStr"/>
      <c r="I16" s="7" t="inlineStr">
        <is>
          <t>2026-10-08</t>
        </is>
      </c>
    </row>
    <row r="17">
      <c r="A17" s="7" t="inlineStr">
        <is>
          <t>TC_CRM_020</t>
        </is>
      </c>
      <c r="B17" s="7" t="inlineStr">
        <is>
          <t>CRM</t>
        </is>
      </c>
      <c r="C17" s="7" t="inlineStr">
        <is>
          <t>F-CRM-01</t>
        </is>
      </c>
      <c r="D17" s="7" t="inlineStr">
        <is>
          <t>Tạo khách hàng mới</t>
        </is>
      </c>
      <c r="E17" s="7" t="inlineStr">
        <is>
          <t>Auto</t>
        </is>
      </c>
      <c r="F17" s="7" t="inlineStr">
        <is>
          <t>P2</t>
        </is>
      </c>
      <c r="G17" s="7" t="inlineStr">
        <is>
          <t>Passed</t>
        </is>
      </c>
      <c r="H17" s="7" t="inlineStr"/>
      <c r="I17" s="7" t="inlineStr">
        <is>
          <t>2026-10-08</t>
        </is>
      </c>
    </row>
    <row r="18">
      <c r="A18" s="7" t="inlineStr">
        <is>
          <t>TC_CRM_021</t>
        </is>
      </c>
      <c r="B18" s="7" t="inlineStr">
        <is>
          <t>CRM</t>
        </is>
      </c>
      <c r="C18" s="7" t="inlineStr">
        <is>
          <t>F-CRM-04</t>
        </is>
      </c>
      <c r="D18" s="7" t="inlineStr">
        <is>
          <t>Xóa khách hàng</t>
        </is>
      </c>
      <c r="E18" s="7" t="inlineStr">
        <is>
          <t>Auto</t>
        </is>
      </c>
      <c r="F18" s="7" t="inlineStr">
        <is>
          <t>P1</t>
        </is>
      </c>
      <c r="G18" s="7" t="inlineStr">
        <is>
          <t>Passed</t>
        </is>
      </c>
      <c r="H18" s="7" t="inlineStr"/>
      <c r="I18" s="7" t="inlineStr">
        <is>
          <t>2026-10-19</t>
        </is>
      </c>
    </row>
    <row r="19">
      <c r="A19" s="7" t="inlineStr">
        <is>
          <t>TC_CRM_022</t>
        </is>
      </c>
      <c r="B19" s="7" t="inlineStr">
        <is>
          <t>CRM</t>
        </is>
      </c>
      <c r="C19" s="7" t="inlineStr">
        <is>
          <t>F-CRM-01</t>
        </is>
      </c>
      <c r="D19" s="7" t="inlineStr">
        <is>
          <t>Tạo khách hàng mới</t>
        </is>
      </c>
      <c r="E19" s="7" t="inlineStr">
        <is>
          <t>Auto</t>
        </is>
      </c>
      <c r="F19" s="7" t="inlineStr">
        <is>
          <t>P2</t>
        </is>
      </c>
      <c r="G19" s="7" t="inlineStr">
        <is>
          <t>Passed</t>
        </is>
      </c>
      <c r="H19" s="7" t="inlineStr"/>
      <c r="I19" s="7" t="inlineStr">
        <is>
          <t>2026-10-08</t>
        </is>
      </c>
    </row>
    <row r="20">
      <c r="A20" s="7" t="inlineStr">
        <is>
          <t>TC_CRM_023</t>
        </is>
      </c>
      <c r="B20" s="7" t="inlineStr">
        <is>
          <t>CRM</t>
        </is>
      </c>
      <c r="C20" s="7" t="inlineStr">
        <is>
          <t>F-CRM-03</t>
        </is>
      </c>
      <c r="D20" s="7" t="inlineStr">
        <is>
          <t>Tìm kiếm khách hàng</t>
        </is>
      </c>
      <c r="E20" s="7" t="inlineStr">
        <is>
          <t>Auto</t>
        </is>
      </c>
      <c r="F20" s="7" t="inlineStr">
        <is>
          <t>P2</t>
        </is>
      </c>
      <c r="G20" s="7" t="inlineStr">
        <is>
          <t>Passed</t>
        </is>
      </c>
      <c r="H20" s="7" t="inlineStr"/>
      <c r="I20" s="7" t="inlineStr">
        <is>
          <t>2026-10-19</t>
        </is>
      </c>
    </row>
    <row r="21">
      <c r="A21" s="7" t="inlineStr">
        <is>
          <t>TC_CRM_024</t>
        </is>
      </c>
      <c r="B21" s="7" t="inlineStr">
        <is>
          <t>CRM</t>
        </is>
      </c>
      <c r="C21" s="7" t="inlineStr">
        <is>
          <t>F-CRM-03</t>
        </is>
      </c>
      <c r="D21" s="7" t="inlineStr">
        <is>
          <t>Tìm kiếm khách hàng</t>
        </is>
      </c>
      <c r="E21" s="7" t="inlineStr">
        <is>
          <t>Manual</t>
        </is>
      </c>
      <c r="F21" s="7" t="inlineStr">
        <is>
          <t>P1</t>
        </is>
      </c>
      <c r="G21" s="7" t="inlineStr">
        <is>
          <t>Not Executed</t>
        </is>
      </c>
      <c r="H21" s="7" t="inlineStr"/>
      <c r="I21" s="7" t="inlineStr"/>
    </row>
    <row r="22">
      <c r="A22" s="7" t="inlineStr">
        <is>
          <t>TC_CRM_025</t>
        </is>
      </c>
      <c r="B22" s="7" t="inlineStr">
        <is>
          <t>CRM</t>
        </is>
      </c>
      <c r="C22" s="7" t="inlineStr">
        <is>
          <t>F-CRM-02</t>
        </is>
      </c>
      <c r="D22" s="7" t="inlineStr">
        <is>
          <t>Chỉnh sửa thông tin khách hàng</t>
        </is>
      </c>
      <c r="E22" s="7" t="inlineStr">
        <is>
          <t>Auto</t>
        </is>
      </c>
      <c r="F22" s="7" t="inlineStr">
        <is>
          <t>P2</t>
        </is>
      </c>
      <c r="G22" s="7" t="inlineStr">
        <is>
          <t>Not Executed</t>
        </is>
      </c>
      <c r="H22" s="7" t="inlineStr"/>
      <c r="I22" s="7" t="inlineStr"/>
    </row>
    <row r="23">
      <c r="A23" s="7" t="inlineStr">
        <is>
          <t>TC_CRM_026</t>
        </is>
      </c>
      <c r="B23" s="7" t="inlineStr">
        <is>
          <t>CRM</t>
        </is>
      </c>
      <c r="C23" s="7" t="inlineStr">
        <is>
          <t>F-CRM-02</t>
        </is>
      </c>
      <c r="D23" s="7" t="inlineStr">
        <is>
          <t>Chỉnh sửa thông tin khách hàng</t>
        </is>
      </c>
      <c r="E23" s="7" t="inlineStr">
        <is>
          <t>Auto</t>
        </is>
      </c>
      <c r="F23" s="7" t="inlineStr">
        <is>
          <t>P2</t>
        </is>
      </c>
      <c r="G23" s="7" t="inlineStr">
        <is>
          <t>Not Executed</t>
        </is>
      </c>
      <c r="H23" s="7" t="inlineStr"/>
      <c r="I23" s="7" t="inlineStr"/>
    </row>
    <row r="24">
      <c r="A24" s="7" t="inlineStr">
        <is>
          <t>TC_CRM_027</t>
        </is>
      </c>
      <c r="B24" s="7" t="inlineStr">
        <is>
          <t>CRM</t>
        </is>
      </c>
      <c r="C24" s="7" t="inlineStr">
        <is>
          <t>F-CRM-02</t>
        </is>
      </c>
      <c r="D24" s="7" t="inlineStr">
        <is>
          <t>Chỉnh sửa thông tin khách hàng</t>
        </is>
      </c>
      <c r="E24" s="7" t="inlineStr">
        <is>
          <t>Manual</t>
        </is>
      </c>
      <c r="F24" s="7" t="inlineStr">
        <is>
          <t>P3</t>
        </is>
      </c>
      <c r="G24" s="7" t="inlineStr">
        <is>
          <t>Not Executed</t>
        </is>
      </c>
      <c r="H24" s="7" t="inlineStr"/>
      <c r="I24" s="7" t="inlineStr"/>
    </row>
    <row r="25">
      <c r="A25" s="7" t="inlineStr">
        <is>
          <t>TC_CRM_028</t>
        </is>
      </c>
      <c r="B25" s="7" t="inlineStr">
        <is>
          <t>CRM</t>
        </is>
      </c>
      <c r="C25" s="7" t="inlineStr">
        <is>
          <t>F-CRM-02</t>
        </is>
      </c>
      <c r="D25" s="7" t="inlineStr">
        <is>
          <t>Chỉnh sửa thông tin khách hàng</t>
        </is>
      </c>
      <c r="E25" s="7" t="inlineStr">
        <is>
          <t>Auto</t>
        </is>
      </c>
      <c r="F25" s="7" t="inlineStr">
        <is>
          <t>P1</t>
        </is>
      </c>
      <c r="G25" s="7" t="inlineStr">
        <is>
          <t>Not Executed</t>
        </is>
      </c>
      <c r="H25" s="7" t="inlineStr"/>
      <c r="I25" s="7" t="inlineStr"/>
    </row>
    <row r="26">
      <c r="A26" s="7" t="inlineStr">
        <is>
          <t>TC_CRM_029</t>
        </is>
      </c>
      <c r="B26" s="7" t="inlineStr">
        <is>
          <t>CRM</t>
        </is>
      </c>
      <c r="C26" s="7" t="inlineStr">
        <is>
          <t>F-CRM-03</t>
        </is>
      </c>
      <c r="D26" s="7" t="inlineStr">
        <is>
          <t>Tìm kiếm khách hàng</t>
        </is>
      </c>
      <c r="E26" s="7" t="inlineStr">
        <is>
          <t>Auto</t>
        </is>
      </c>
      <c r="F26" s="7" t="inlineStr">
        <is>
          <t>P1</t>
        </is>
      </c>
      <c r="G26" s="7" t="inlineStr">
        <is>
          <t>Not Executed</t>
        </is>
      </c>
      <c r="H26" s="7" t="inlineStr"/>
      <c r="I26" s="7" t="inlineStr"/>
    </row>
    <row r="27">
      <c r="A27" s="7" t="inlineStr">
        <is>
          <t>TC_CRM_030</t>
        </is>
      </c>
      <c r="B27" s="7" t="inlineStr">
        <is>
          <t>CRM</t>
        </is>
      </c>
      <c r="C27" s="7" t="inlineStr">
        <is>
          <t>F-CRM-03</t>
        </is>
      </c>
      <c r="D27" s="7" t="inlineStr">
        <is>
          <t>Tìm kiếm khách hàng</t>
        </is>
      </c>
      <c r="E27" s="7" t="inlineStr">
        <is>
          <t>Auto</t>
        </is>
      </c>
      <c r="F27" s="7" t="inlineStr">
        <is>
          <t>P2</t>
        </is>
      </c>
      <c r="G27" s="7" t="inlineStr">
        <is>
          <t>Not Executed</t>
        </is>
      </c>
      <c r="H27" s="7" t="inlineStr"/>
      <c r="I27" s="7" t="inlineStr"/>
    </row>
    <row r="28">
      <c r="A28" s="7" t="inlineStr">
        <is>
          <t>TC_CRM_031</t>
        </is>
      </c>
      <c r="B28" s="7" t="inlineStr">
        <is>
          <t>CRM</t>
        </is>
      </c>
      <c r="C28" s="7" t="inlineStr">
        <is>
          <t>F-CRM-03</t>
        </is>
      </c>
      <c r="D28" s="7" t="inlineStr">
        <is>
          <t>Tìm kiếm khách hàng</t>
        </is>
      </c>
      <c r="E28" s="7" t="inlineStr">
        <is>
          <t>Manual</t>
        </is>
      </c>
      <c r="F28" s="7" t="inlineStr">
        <is>
          <t>P2</t>
        </is>
      </c>
      <c r="G28" s="7" t="inlineStr">
        <is>
          <t>Not Executed</t>
        </is>
      </c>
      <c r="H28" s="7" t="inlineStr"/>
      <c r="I28" s="7" t="inlineStr"/>
    </row>
    <row r="29">
      <c r="A29" s="7" t="inlineStr">
        <is>
          <t>TC_CRM_032</t>
        </is>
      </c>
      <c r="B29" s="7" t="inlineStr">
        <is>
          <t>CRM</t>
        </is>
      </c>
      <c r="C29" s="7" t="inlineStr">
        <is>
          <t>F-CRM-04</t>
        </is>
      </c>
      <c r="D29" s="7" t="inlineStr">
        <is>
          <t>Xóa khách hàng</t>
        </is>
      </c>
      <c r="E29" s="7" t="inlineStr">
        <is>
          <t>Auto</t>
        </is>
      </c>
      <c r="F29" s="7" t="inlineStr">
        <is>
          <t>P1</t>
        </is>
      </c>
      <c r="G29" s="7" t="inlineStr">
        <is>
          <t>Not Executed</t>
        </is>
      </c>
      <c r="H29" s="7" t="inlineStr"/>
      <c r="I29" s="7" t="inlineStr"/>
    </row>
    <row r="30">
      <c r="A30" s="7" t="inlineStr">
        <is>
          <t>TC_CRM_033</t>
        </is>
      </c>
      <c r="B30" s="7" t="inlineStr">
        <is>
          <t>CRM</t>
        </is>
      </c>
      <c r="C30" s="7" t="inlineStr">
        <is>
          <t>F-CRM-04</t>
        </is>
      </c>
      <c r="D30" s="7" t="inlineStr">
        <is>
          <t>Xóa khách hàng</t>
        </is>
      </c>
      <c r="E30" s="7" t="inlineStr">
        <is>
          <t>Auto</t>
        </is>
      </c>
      <c r="F30" s="7" t="inlineStr">
        <is>
          <t>P2</t>
        </is>
      </c>
      <c r="G30" s="7" t="inlineStr">
        <is>
          <t>Not Executed</t>
        </is>
      </c>
      <c r="H30" s="7" t="inlineStr"/>
      <c r="I30" s="7" t="inlineStr"/>
    </row>
    <row r="31">
      <c r="A31" s="7" t="inlineStr">
        <is>
          <t>TC_CRM_034</t>
        </is>
      </c>
      <c r="B31" s="7" t="inlineStr">
        <is>
          <t>CRM</t>
        </is>
      </c>
      <c r="C31" s="7" t="inlineStr">
        <is>
          <t>F-CRM-04</t>
        </is>
      </c>
      <c r="D31" s="7" t="inlineStr">
        <is>
          <t>Xóa khách hàng</t>
        </is>
      </c>
      <c r="E31" s="7" t="inlineStr">
        <is>
          <t>Manual</t>
        </is>
      </c>
      <c r="F31" s="7" t="inlineStr">
        <is>
          <t>P3</t>
        </is>
      </c>
      <c r="G31" s="7" t="inlineStr">
        <is>
          <t>Not Executed</t>
        </is>
      </c>
      <c r="H31" s="7" t="inlineStr"/>
      <c r="I31" s="7" t="inlineStr"/>
    </row>
    <row r="32">
      <c r="A32" s="7" t="inlineStr">
        <is>
          <t>TC_CRM_035</t>
        </is>
      </c>
      <c r="B32" s="7" t="inlineStr">
        <is>
          <t>CRM</t>
        </is>
      </c>
      <c r="C32" s="7" t="inlineStr">
        <is>
          <t>F-CRM-01</t>
        </is>
      </c>
      <c r="D32" s="7" t="inlineStr">
        <is>
          <t>Tạo khách hàng mới</t>
        </is>
      </c>
      <c r="E32" s="7" t="inlineStr">
        <is>
          <t>Auto</t>
        </is>
      </c>
      <c r="F32" s="7" t="inlineStr">
        <is>
          <t>P1</t>
        </is>
      </c>
      <c r="G32" s="7" t="inlineStr">
        <is>
          <t>Not Executed</t>
        </is>
      </c>
      <c r="H32" s="7" t="inlineStr"/>
      <c r="I32" s="7" t="inlineStr"/>
    </row>
    <row r="33">
      <c r="A33" s="7" t="inlineStr">
        <is>
          <t>TC_CRM_036</t>
        </is>
      </c>
      <c r="B33" s="7" t="inlineStr">
        <is>
          <t>CRM</t>
        </is>
      </c>
      <c r="C33" s="7" t="inlineStr">
        <is>
          <t>F-CRM-01</t>
        </is>
      </c>
      <c r="D33" s="7" t="inlineStr">
        <is>
          <t>Tạo khách hàng mới</t>
        </is>
      </c>
      <c r="E33" s="7" t="inlineStr">
        <is>
          <t>Manual</t>
        </is>
      </c>
      <c r="F33" s="7" t="inlineStr">
        <is>
          <t>P2</t>
        </is>
      </c>
      <c r="G33" s="7" t="inlineStr">
        <is>
          <t>Not Executed</t>
        </is>
      </c>
      <c r="H33" s="7" t="inlineStr"/>
      <c r="I33" s="7" t="inlineStr"/>
    </row>
    <row r="34">
      <c r="A34" s="7" t="inlineStr">
        <is>
          <t>TC_SAL_001</t>
        </is>
      </c>
      <c r="B34" s="7" t="inlineStr">
        <is>
          <t>Sales</t>
        </is>
      </c>
      <c r="C34" s="7" t="inlineStr">
        <is>
          <t>F-SAL-01</t>
        </is>
      </c>
      <c r="D34" s="7" t="inlineStr">
        <is>
          <t>Báo giá thương mại</t>
        </is>
      </c>
      <c r="E34" s="7" t="inlineStr">
        <is>
          <t>Auto</t>
        </is>
      </c>
      <c r="F34" s="7" t="inlineStr">
        <is>
          <t>P1</t>
        </is>
      </c>
      <c r="G34" s="7" t="inlineStr">
        <is>
          <t>Passed</t>
        </is>
      </c>
      <c r="H34" s="7" t="inlineStr"/>
      <c r="I34" s="7" t="inlineStr">
        <is>
          <t>2026-10-07</t>
        </is>
      </c>
    </row>
    <row r="35">
      <c r="A35" s="7" t="inlineStr">
        <is>
          <t>TC_SAL_002</t>
        </is>
      </c>
      <c r="B35" s="7" t="inlineStr">
        <is>
          <t>Sales</t>
        </is>
      </c>
      <c r="C35" s="7" t="inlineStr">
        <is>
          <t>F-SAL-01</t>
        </is>
      </c>
      <c r="D35" s="7" t="inlineStr">
        <is>
          <t>Báo giá thương mại</t>
        </is>
      </c>
      <c r="E35" s="7" t="inlineStr">
        <is>
          <t>Auto</t>
        </is>
      </c>
      <c r="F35" s="7" t="inlineStr">
        <is>
          <t>P1</t>
        </is>
      </c>
      <c r="G35" s="7" t="inlineStr">
        <is>
          <t>Passed</t>
        </is>
      </c>
      <c r="H35" s="7" t="inlineStr"/>
      <c r="I35" s="7" t="inlineStr">
        <is>
          <t>2026-10-07</t>
        </is>
      </c>
    </row>
    <row r="36">
      <c r="A36" s="7" t="inlineStr">
        <is>
          <t>TC_SAL_003</t>
        </is>
      </c>
      <c r="B36" s="7" t="inlineStr">
        <is>
          <t>Sales</t>
        </is>
      </c>
      <c r="C36" s="7" t="inlineStr">
        <is>
          <t>F-SAL-01</t>
        </is>
      </c>
      <c r="D36" s="7" t="inlineStr">
        <is>
          <t>Báo giá thương mại</t>
        </is>
      </c>
      <c r="E36" s="7" t="inlineStr">
        <is>
          <t>Auto</t>
        </is>
      </c>
      <c r="F36" s="7" t="inlineStr">
        <is>
          <t>P1</t>
        </is>
      </c>
      <c r="G36" s="7" t="inlineStr">
        <is>
          <t>Passed</t>
        </is>
      </c>
      <c r="H36" s="7" t="inlineStr"/>
      <c r="I36" s="7" t="inlineStr">
        <is>
          <t>2026-10-07</t>
        </is>
      </c>
    </row>
    <row r="37">
      <c r="A37" s="7" t="inlineStr">
        <is>
          <t>TC_SAL_004</t>
        </is>
      </c>
      <c r="B37" s="7" t="inlineStr">
        <is>
          <t>Sales</t>
        </is>
      </c>
      <c r="C37" s="7" t="inlineStr">
        <is>
          <t>F-SAL-01</t>
        </is>
      </c>
      <c r="D37" s="7" t="inlineStr">
        <is>
          <t>Báo giá thương mại</t>
        </is>
      </c>
      <c r="E37" s="7" t="inlineStr">
        <is>
          <t>Auto</t>
        </is>
      </c>
      <c r="F37" s="7" t="inlineStr">
        <is>
          <t>P1</t>
        </is>
      </c>
      <c r="G37" s="7" t="inlineStr">
        <is>
          <t>Passed</t>
        </is>
      </c>
      <c r="H37" s="7" t="inlineStr"/>
      <c r="I37" s="7" t="inlineStr">
        <is>
          <t>2026-10-07</t>
        </is>
      </c>
    </row>
    <row r="38">
      <c r="A38" s="7" t="inlineStr">
        <is>
          <t>TC_SAL_005</t>
        </is>
      </c>
      <c r="B38" s="7" t="inlineStr">
        <is>
          <t>Sales</t>
        </is>
      </c>
      <c r="C38" s="7" t="inlineStr">
        <is>
          <t>F-SAL-01</t>
        </is>
      </c>
      <c r="D38" s="7" t="inlineStr">
        <is>
          <t>Báo giá thương mại</t>
        </is>
      </c>
      <c r="E38" s="7" t="inlineStr">
        <is>
          <t>Auto</t>
        </is>
      </c>
      <c r="F38" s="7" t="inlineStr">
        <is>
          <t>P1</t>
        </is>
      </c>
      <c r="G38" s="7" t="inlineStr">
        <is>
          <t>Passed</t>
        </is>
      </c>
      <c r="H38" s="7" t="inlineStr"/>
      <c r="I38" s="7" t="inlineStr">
        <is>
          <t>2026-10-07</t>
        </is>
      </c>
    </row>
    <row r="39">
      <c r="A39" s="7" t="inlineStr">
        <is>
          <t>TC_SAL_006</t>
        </is>
      </c>
      <c r="B39" s="7" t="inlineStr">
        <is>
          <t>Sales</t>
        </is>
      </c>
      <c r="C39" s="7" t="inlineStr">
        <is>
          <t>F-SAL-02</t>
        </is>
      </c>
      <c r="D39" s="7" t="inlineStr">
        <is>
          <t>Hóa đơn bán hàng chuẩn</t>
        </is>
      </c>
      <c r="E39" s="7" t="inlineStr">
        <is>
          <t>Auto</t>
        </is>
      </c>
      <c r="F39" s="7" t="inlineStr">
        <is>
          <t>P1</t>
        </is>
      </c>
      <c r="G39" s="7" t="inlineStr">
        <is>
          <t>Passed</t>
        </is>
      </c>
      <c r="H39" s="7" t="inlineStr"/>
      <c r="I39" s="7" t="inlineStr">
        <is>
          <t>2026-10-07</t>
        </is>
      </c>
    </row>
    <row r="40">
      <c r="A40" s="7" t="inlineStr">
        <is>
          <t>TC_SAL_007</t>
        </is>
      </c>
      <c r="B40" s="7" t="inlineStr">
        <is>
          <t>Sales</t>
        </is>
      </c>
      <c r="C40" s="7" t="inlineStr">
        <is>
          <t>F-SAL-02</t>
        </is>
      </c>
      <c r="D40" s="7" t="inlineStr">
        <is>
          <t>Hóa đơn bán hàng chuẩn</t>
        </is>
      </c>
      <c r="E40" s="7" t="inlineStr">
        <is>
          <t>Auto</t>
        </is>
      </c>
      <c r="F40" s="7" t="inlineStr">
        <is>
          <t>P1</t>
        </is>
      </c>
      <c r="G40" s="7" t="inlineStr">
        <is>
          <t>Passed</t>
        </is>
      </c>
      <c r="H40" s="7" t="inlineStr"/>
      <c r="I40" s="7" t="inlineStr">
        <is>
          <t>2026-10-07</t>
        </is>
      </c>
    </row>
    <row r="41">
      <c r="A41" s="7" t="inlineStr">
        <is>
          <t>TC_SAL_008</t>
        </is>
      </c>
      <c r="B41" s="7" t="inlineStr">
        <is>
          <t>Stock</t>
        </is>
      </c>
      <c r="C41" s="7" t="inlineStr">
        <is>
          <t>F-STK-01</t>
        </is>
      </c>
      <c r="D41" s="7" t="inlineStr">
        <is>
          <t>Trừ kho tự động theo hóa đơn</t>
        </is>
      </c>
      <c r="E41" s="7" t="inlineStr">
        <is>
          <t>Auto</t>
        </is>
      </c>
      <c r="F41" s="7" t="inlineStr">
        <is>
          <t>P1</t>
        </is>
      </c>
      <c r="G41" s="7" t="inlineStr">
        <is>
          <t>Passed</t>
        </is>
      </c>
      <c r="H41" s="7" t="inlineStr"/>
      <c r="I41" s="7" t="inlineStr">
        <is>
          <t>2026-10-07</t>
        </is>
      </c>
    </row>
    <row r="42">
      <c r="A42" s="7" t="inlineStr">
        <is>
          <t>TC_SAL_009</t>
        </is>
      </c>
      <c r="B42" s="7" t="inlineStr">
        <is>
          <t>Sales</t>
        </is>
      </c>
      <c r="C42" s="7" t="inlineStr">
        <is>
          <t>F-SAL-03</t>
        </is>
      </c>
      <c r="D42" s="7" t="inlineStr">
        <is>
          <t>Hóa đơn đặc biệt</t>
        </is>
      </c>
      <c r="E42" s="7" t="inlineStr">
        <is>
          <t>Manual</t>
        </is>
      </c>
      <c r="F42" s="7" t="inlineStr">
        <is>
          <t>P1</t>
        </is>
      </c>
      <c r="G42" s="7" t="inlineStr">
        <is>
          <t>Not Executed</t>
        </is>
      </c>
      <c r="H42" s="7" t="inlineStr"/>
      <c r="I42" s="7" t="inlineStr"/>
    </row>
    <row r="43">
      <c r="A43" s="7" t="inlineStr">
        <is>
          <t>TC_SAL_010</t>
        </is>
      </c>
      <c r="B43" s="7" t="inlineStr">
        <is>
          <t>Sales</t>
        </is>
      </c>
      <c r="C43" s="7" t="inlineStr">
        <is>
          <t>F-SAL-03</t>
        </is>
      </c>
      <c r="D43" s="7" t="inlineStr">
        <is>
          <t>Hóa đơn đặc biệt</t>
        </is>
      </c>
      <c r="E43" s="7" t="inlineStr">
        <is>
          <t>Manual</t>
        </is>
      </c>
      <c r="F43" s="7" t="inlineStr">
        <is>
          <t>P1</t>
        </is>
      </c>
      <c r="G43" s="7" t="inlineStr">
        <is>
          <t>Not Executed</t>
        </is>
      </c>
      <c r="H43" s="7" t="inlineStr"/>
      <c r="I43" s="7" t="inlineStr"/>
    </row>
    <row r="44">
      <c r="A44" s="7" t="inlineStr">
        <is>
          <t>TC_SAL_011</t>
        </is>
      </c>
      <c r="B44" s="7" t="inlineStr">
        <is>
          <t>Sales</t>
        </is>
      </c>
      <c r="C44" s="7" t="inlineStr">
        <is>
          <t>F-SAL-03</t>
        </is>
      </c>
      <c r="D44" s="7" t="inlineStr">
        <is>
          <t>Hóa đơn đặc biệt</t>
        </is>
      </c>
      <c r="E44" s="7" t="inlineStr">
        <is>
          <t>Manual</t>
        </is>
      </c>
      <c r="F44" s="7" t="inlineStr">
        <is>
          <t>P1</t>
        </is>
      </c>
      <c r="G44" s="7" t="inlineStr">
        <is>
          <t>Not Executed</t>
        </is>
      </c>
      <c r="H44" s="7" t="inlineStr"/>
      <c r="I44" s="7" t="inlineStr"/>
    </row>
    <row r="45">
      <c r="A45" s="7" t="inlineStr">
        <is>
          <t>TC_SAL_012</t>
        </is>
      </c>
      <c r="B45" s="7" t="inlineStr">
        <is>
          <t>Sales</t>
        </is>
      </c>
      <c r="C45" s="7" t="inlineStr">
        <is>
          <t>F-SAL-03</t>
        </is>
      </c>
      <c r="D45" s="7" t="inlineStr">
        <is>
          <t>Hóa đơn đặc biệt</t>
        </is>
      </c>
      <c r="E45" s="7" t="inlineStr">
        <is>
          <t>Manual</t>
        </is>
      </c>
      <c r="F45" s="7" t="inlineStr">
        <is>
          <t>P1</t>
        </is>
      </c>
      <c r="G45" s="7" t="inlineStr">
        <is>
          <t>Not Executed</t>
        </is>
      </c>
      <c r="H45" s="7" t="inlineStr"/>
      <c r="I45" s="7" t="inlineStr"/>
    </row>
    <row r="46">
      <c r="A46" s="7" t="inlineStr">
        <is>
          <t>TC_SAL_013</t>
        </is>
      </c>
      <c r="B46" s="7" t="inlineStr">
        <is>
          <t>Sales</t>
        </is>
      </c>
      <c r="C46" s="7" t="inlineStr">
        <is>
          <t>F-SAL-01</t>
        </is>
      </c>
      <c r="D46" s="7" t="inlineStr">
        <is>
          <t>Báo giá thương mại</t>
        </is>
      </c>
      <c r="E46" s="7" t="inlineStr">
        <is>
          <t>Auto</t>
        </is>
      </c>
      <c r="F46" s="7" t="inlineStr">
        <is>
          <t>P1</t>
        </is>
      </c>
      <c r="G46" s="7" t="inlineStr">
        <is>
          <t>Passed</t>
        </is>
      </c>
      <c r="H46" s="7" t="inlineStr"/>
      <c r="I46" s="7" t="inlineStr">
        <is>
          <t>2026-10-08</t>
        </is>
      </c>
    </row>
    <row r="47">
      <c r="A47" s="7" t="inlineStr">
        <is>
          <t>TC_SAL_014</t>
        </is>
      </c>
      <c r="B47" s="7" t="inlineStr">
        <is>
          <t>Sales</t>
        </is>
      </c>
      <c r="C47" s="7" t="inlineStr">
        <is>
          <t>F-SAL-01</t>
        </is>
      </c>
      <c r="D47" s="7" t="inlineStr">
        <is>
          <t>Báo giá thương mại</t>
        </is>
      </c>
      <c r="E47" s="7" t="inlineStr">
        <is>
          <t>Auto</t>
        </is>
      </c>
      <c r="F47" s="7" t="inlineStr">
        <is>
          <t>P1</t>
        </is>
      </c>
      <c r="G47" s="7" t="inlineStr">
        <is>
          <t>Passed</t>
        </is>
      </c>
      <c r="H47" s="7" t="inlineStr"/>
      <c r="I47" s="7" t="inlineStr">
        <is>
          <t>2026-10-08</t>
        </is>
      </c>
    </row>
    <row r="48">
      <c r="A48" s="7" t="inlineStr">
        <is>
          <t>TC_SAL_015</t>
        </is>
      </c>
      <c r="B48" s="7" t="inlineStr">
        <is>
          <t>Sales</t>
        </is>
      </c>
      <c r="C48" s="7" t="inlineStr">
        <is>
          <t>F-SAL-02</t>
        </is>
      </c>
      <c r="D48" s="7" t="inlineStr">
        <is>
          <t>Hóa đơn bán hàng chuẩn</t>
        </is>
      </c>
      <c r="E48" s="7" t="inlineStr">
        <is>
          <t>Auto</t>
        </is>
      </c>
      <c r="F48" s="7" t="inlineStr">
        <is>
          <t>P1</t>
        </is>
      </c>
      <c r="G48" s="7" t="inlineStr">
        <is>
          <t>Passed</t>
        </is>
      </c>
      <c r="H48" s="7" t="inlineStr"/>
      <c r="I48" s="7" t="inlineStr">
        <is>
          <t>2026-10-08</t>
        </is>
      </c>
    </row>
    <row r="49">
      <c r="A49" s="7" t="inlineStr">
        <is>
          <t>TC_SAL_016</t>
        </is>
      </c>
      <c r="B49" s="7" t="inlineStr">
        <is>
          <t>Sales</t>
        </is>
      </c>
      <c r="C49" s="7" t="inlineStr">
        <is>
          <t>F-SAL-03</t>
        </is>
      </c>
      <c r="D49" s="7" t="inlineStr">
        <is>
          <t>Hóa đơn đặc biệt</t>
        </is>
      </c>
      <c r="E49" s="7" t="inlineStr">
        <is>
          <t>Manual</t>
        </is>
      </c>
      <c r="F49" s="7" t="inlineStr">
        <is>
          <t>P2</t>
        </is>
      </c>
      <c r="G49" s="7" t="inlineStr">
        <is>
          <t>Not Executed</t>
        </is>
      </c>
      <c r="H49" s="7" t="inlineStr"/>
      <c r="I49" s="7" t="inlineStr"/>
    </row>
    <row r="50">
      <c r="A50" s="7" t="inlineStr">
        <is>
          <t>TC_SAL_017</t>
        </is>
      </c>
      <c r="B50" s="7" t="inlineStr">
        <is>
          <t>Sales</t>
        </is>
      </c>
      <c r="C50" s="7" t="inlineStr">
        <is>
          <t>F-SAL-03</t>
        </is>
      </c>
      <c r="D50" s="7" t="inlineStr">
        <is>
          <t>Hóa đơn đặc biệt</t>
        </is>
      </c>
      <c r="E50" s="7" t="inlineStr">
        <is>
          <t>Manual</t>
        </is>
      </c>
      <c r="F50" s="7" t="inlineStr">
        <is>
          <t>P2</t>
        </is>
      </c>
      <c r="G50" s="7" t="inlineStr">
        <is>
          <t>Not Executed</t>
        </is>
      </c>
      <c r="H50" s="7" t="inlineStr"/>
      <c r="I50" s="7" t="inlineStr"/>
    </row>
    <row r="51">
      <c r="A51" s="7" t="inlineStr">
        <is>
          <t>TC_SAL_018</t>
        </is>
      </c>
      <c r="B51" s="7" t="inlineStr">
        <is>
          <t>Sales</t>
        </is>
      </c>
      <c r="C51" s="7" t="inlineStr">
        <is>
          <t>F-SAL-03</t>
        </is>
      </c>
      <c r="D51" s="7" t="inlineStr">
        <is>
          <t>Hóa đơn đặc biệt</t>
        </is>
      </c>
      <c r="E51" s="7" t="inlineStr">
        <is>
          <t>Manual</t>
        </is>
      </c>
      <c r="F51" s="7" t="inlineStr">
        <is>
          <t>P2</t>
        </is>
      </c>
      <c r="G51" s="7" t="inlineStr">
        <is>
          <t>Not Executed</t>
        </is>
      </c>
      <c r="H51" s="7" t="inlineStr"/>
      <c r="I51" s="7" t="inlineStr"/>
    </row>
    <row r="52">
      <c r="A52" s="7" t="inlineStr">
        <is>
          <t>TC_SAL_019</t>
        </is>
      </c>
      <c r="B52" s="7" t="inlineStr">
        <is>
          <t>Sales</t>
        </is>
      </c>
      <c r="C52" s="7" t="inlineStr">
        <is>
          <t>F-SAL-03</t>
        </is>
      </c>
      <c r="D52" s="7" t="inlineStr">
        <is>
          <t>Hóa đơn đặc biệt</t>
        </is>
      </c>
      <c r="E52" s="7" t="inlineStr">
        <is>
          <t>Manual</t>
        </is>
      </c>
      <c r="F52" s="7" t="inlineStr">
        <is>
          <t>P1</t>
        </is>
      </c>
      <c r="G52" s="7" t="inlineStr">
        <is>
          <t>Not Executed</t>
        </is>
      </c>
      <c r="H52" s="7" t="inlineStr"/>
      <c r="I52" s="7" t="inlineStr"/>
    </row>
    <row r="53">
      <c r="A53" s="7" t="inlineStr">
        <is>
          <t>TC_SAL_020</t>
        </is>
      </c>
      <c r="B53" s="7" t="inlineStr">
        <is>
          <t>Sales</t>
        </is>
      </c>
      <c r="C53" s="7" t="inlineStr">
        <is>
          <t>F-SAL-03</t>
        </is>
      </c>
      <c r="D53" s="7" t="inlineStr">
        <is>
          <t>Hóa đơn đặc biệt</t>
        </is>
      </c>
      <c r="E53" s="7" t="inlineStr">
        <is>
          <t>Auto</t>
        </is>
      </c>
      <c r="F53" s="7" t="inlineStr">
        <is>
          <t>P2</t>
        </is>
      </c>
      <c r="G53" s="7" t="inlineStr">
        <is>
          <t>Passed</t>
        </is>
      </c>
      <c r="H53" s="7" t="inlineStr"/>
      <c r="I53" s="7" t="inlineStr">
        <is>
          <t>2026-10-19</t>
        </is>
      </c>
    </row>
    <row r="54">
      <c r="A54" s="7" t="inlineStr">
        <is>
          <t>TC_SAL_021</t>
        </is>
      </c>
      <c r="B54" s="7" t="inlineStr">
        <is>
          <t>Sales</t>
        </is>
      </c>
      <c r="C54" s="7" t="inlineStr">
        <is>
          <t>F-SAL-03</t>
        </is>
      </c>
      <c r="D54" s="7" t="inlineStr">
        <is>
          <t>Hóa đơn đặc biệt</t>
        </is>
      </c>
      <c r="E54" s="7" t="inlineStr">
        <is>
          <t>Auto</t>
        </is>
      </c>
      <c r="F54" s="7" t="inlineStr">
        <is>
          <t>P2</t>
        </is>
      </c>
      <c r="G54" s="7" t="inlineStr">
        <is>
          <t>Passed</t>
        </is>
      </c>
      <c r="H54" s="7" t="inlineStr"/>
      <c r="I54" s="7" t="inlineStr">
        <is>
          <t>2026-10-19</t>
        </is>
      </c>
    </row>
    <row r="55">
      <c r="A55" s="7" t="inlineStr">
        <is>
          <t>TC_SAL_022</t>
        </is>
      </c>
      <c r="B55" s="7" t="inlineStr">
        <is>
          <t>Sales</t>
        </is>
      </c>
      <c r="C55" s="7" t="inlineStr">
        <is>
          <t>F-SAL-03</t>
        </is>
      </c>
      <c r="D55" s="7" t="inlineStr">
        <is>
          <t>Hóa đơn đặc biệt</t>
        </is>
      </c>
      <c r="E55" s="7" t="inlineStr">
        <is>
          <t>Manual</t>
        </is>
      </c>
      <c r="F55" s="7" t="inlineStr">
        <is>
          <t>P2</t>
        </is>
      </c>
      <c r="G55" s="7" t="inlineStr">
        <is>
          <t>Not Executed</t>
        </is>
      </c>
      <c r="H55" s="7" t="inlineStr"/>
      <c r="I55" s="7" t="inlineStr"/>
    </row>
    <row r="56">
      <c r="A56" s="7" t="inlineStr">
        <is>
          <t>TC_SAL_023</t>
        </is>
      </c>
      <c r="B56" s="7" t="inlineStr">
        <is>
          <t>Sales</t>
        </is>
      </c>
      <c r="C56" s="7" t="inlineStr">
        <is>
          <t>F-SAL-02</t>
        </is>
      </c>
      <c r="D56" s="7" t="inlineStr">
        <is>
          <t>Hóa đơn bán hàng chuẩn</t>
        </is>
      </c>
      <c r="E56" s="7" t="inlineStr">
        <is>
          <t>Auto</t>
        </is>
      </c>
      <c r="F56" s="7" t="inlineStr">
        <is>
          <t>P1</t>
        </is>
      </c>
      <c r="G56" s="7" t="inlineStr">
        <is>
          <t>Passed</t>
        </is>
      </c>
      <c r="H56" s="7" t="inlineStr"/>
      <c r="I56" s="7" t="inlineStr">
        <is>
          <t>2026-10-19</t>
        </is>
      </c>
    </row>
    <row r="57">
      <c r="A57" s="7" t="inlineStr">
        <is>
          <t>TC_SAL_024</t>
        </is>
      </c>
      <c r="B57" s="7" t="inlineStr">
        <is>
          <t>Sales</t>
        </is>
      </c>
      <c r="C57" s="7" t="inlineStr">
        <is>
          <t>F-SAL-03</t>
        </is>
      </c>
      <c r="D57" s="7" t="inlineStr">
        <is>
          <t>Hóa đơn đặc biệt</t>
        </is>
      </c>
      <c r="E57" s="7" t="inlineStr">
        <is>
          <t>Manual</t>
        </is>
      </c>
      <c r="F57" s="7" t="inlineStr">
        <is>
          <t>P1</t>
        </is>
      </c>
      <c r="G57" s="7" t="inlineStr">
        <is>
          <t>Not Executed</t>
        </is>
      </c>
      <c r="H57" s="7" t="inlineStr"/>
      <c r="I57" s="7" t="inlineStr"/>
    </row>
    <row r="58">
      <c r="A58" s="7" t="inlineStr">
        <is>
          <t>TC_SAL_025</t>
        </is>
      </c>
      <c r="B58" s="7" t="inlineStr">
        <is>
          <t>Sales</t>
        </is>
      </c>
      <c r="C58" s="7" t="inlineStr">
        <is>
          <t>F-SAL-03</t>
        </is>
      </c>
      <c r="D58" s="7" t="inlineStr">
        <is>
          <t>Hóa đơn đặc biệt</t>
        </is>
      </c>
      <c r="E58" s="7" t="inlineStr">
        <is>
          <t>Manual</t>
        </is>
      </c>
      <c r="F58" s="7" t="inlineStr">
        <is>
          <t>P2</t>
        </is>
      </c>
      <c r="G58" s="7" t="inlineStr">
        <is>
          <t>Not Executed</t>
        </is>
      </c>
      <c r="H58" s="7" t="inlineStr"/>
      <c r="I58" s="7" t="inlineStr"/>
    </row>
    <row r="59">
      <c r="A59" s="7" t="inlineStr">
        <is>
          <t>TC_SAL_026</t>
        </is>
      </c>
      <c r="B59" s="7" t="inlineStr">
        <is>
          <t>Sales</t>
        </is>
      </c>
      <c r="C59" s="7" t="inlineStr">
        <is>
          <t>F-SAL-03</t>
        </is>
      </c>
      <c r="D59" s="7" t="inlineStr">
        <is>
          <t>Hóa đơn đặc biệt</t>
        </is>
      </c>
      <c r="E59" s="7" t="inlineStr">
        <is>
          <t>Manual</t>
        </is>
      </c>
      <c r="F59" s="7" t="inlineStr">
        <is>
          <t>P2</t>
        </is>
      </c>
      <c r="G59" s="7" t="inlineStr">
        <is>
          <t>Not Executed</t>
        </is>
      </c>
      <c r="H59" s="7" t="inlineStr"/>
      <c r="I59" s="7" t="inlineStr"/>
    </row>
    <row r="60">
      <c r="A60" s="7" t="inlineStr">
        <is>
          <t>TC_SAL_027</t>
        </is>
      </c>
      <c r="B60" s="7" t="inlineStr">
        <is>
          <t>Sales</t>
        </is>
      </c>
      <c r="C60" s="7" t="inlineStr">
        <is>
          <t>F-SAL-03</t>
        </is>
      </c>
      <c r="D60" s="7" t="inlineStr">
        <is>
          <t>Hóa đơn đặc biệt</t>
        </is>
      </c>
      <c r="E60" s="7" t="inlineStr">
        <is>
          <t>Manual</t>
        </is>
      </c>
      <c r="F60" s="7" t="inlineStr">
        <is>
          <t>P3</t>
        </is>
      </c>
      <c r="G60" s="7" t="inlineStr">
        <is>
          <t>Not Executed</t>
        </is>
      </c>
      <c r="H60" s="7" t="inlineStr"/>
      <c r="I60" s="7" t="inlineStr"/>
    </row>
    <row r="61">
      <c r="A61" s="7" t="inlineStr">
        <is>
          <t>TC_SAL_028</t>
        </is>
      </c>
      <c r="B61" s="7" t="inlineStr">
        <is>
          <t>Sales</t>
        </is>
      </c>
      <c r="C61" s="7" t="inlineStr">
        <is>
          <t>F-SAL-01</t>
        </is>
      </c>
      <c r="D61" s="7" t="inlineStr">
        <is>
          <t>Báo giá thương mại</t>
        </is>
      </c>
      <c r="E61" s="7" t="inlineStr">
        <is>
          <t>Auto</t>
        </is>
      </c>
      <c r="F61" s="7" t="inlineStr">
        <is>
          <t>P2</t>
        </is>
      </c>
      <c r="G61" s="7" t="inlineStr">
        <is>
          <t>Not Executed</t>
        </is>
      </c>
      <c r="H61" s="7" t="inlineStr"/>
      <c r="I61" s="7" t="inlineStr"/>
    </row>
    <row r="62">
      <c r="A62" s="7" t="inlineStr">
        <is>
          <t>TC_SAL_029</t>
        </is>
      </c>
      <c r="B62" s="7" t="inlineStr">
        <is>
          <t>Sales</t>
        </is>
      </c>
      <c r="C62" s="7" t="inlineStr">
        <is>
          <t>F-SAL-01</t>
        </is>
      </c>
      <c r="D62" s="7" t="inlineStr">
        <is>
          <t>Báo giá thương mại</t>
        </is>
      </c>
      <c r="E62" s="7" t="inlineStr">
        <is>
          <t>Manual</t>
        </is>
      </c>
      <c r="F62" s="7" t="inlineStr">
        <is>
          <t>P3</t>
        </is>
      </c>
      <c r="G62" s="7" t="inlineStr">
        <is>
          <t>Not Executed</t>
        </is>
      </c>
      <c r="H62" s="7" t="inlineStr"/>
      <c r="I62" s="7" t="inlineStr"/>
    </row>
    <row r="63">
      <c r="A63" s="7" t="inlineStr">
        <is>
          <t>TC_SAL_030</t>
        </is>
      </c>
      <c r="B63" s="7" t="inlineStr">
        <is>
          <t>Sales</t>
        </is>
      </c>
      <c r="C63" s="7" t="inlineStr">
        <is>
          <t>F-SAL-01</t>
        </is>
      </c>
      <c r="D63" s="7" t="inlineStr">
        <is>
          <t>Báo giá thương mại</t>
        </is>
      </c>
      <c r="E63" s="7" t="inlineStr">
        <is>
          <t>Auto</t>
        </is>
      </c>
      <c r="F63" s="7" t="inlineStr">
        <is>
          <t>P2</t>
        </is>
      </c>
      <c r="G63" s="7" t="inlineStr">
        <is>
          <t>Not Executed</t>
        </is>
      </c>
      <c r="H63" s="7" t="inlineStr"/>
      <c r="I63" s="7" t="inlineStr"/>
    </row>
    <row r="64">
      <c r="A64" s="7" t="inlineStr">
        <is>
          <t>TC_SAL_031</t>
        </is>
      </c>
      <c r="B64" s="7" t="inlineStr">
        <is>
          <t>Sales</t>
        </is>
      </c>
      <c r="C64" s="7" t="inlineStr">
        <is>
          <t>F-SAL-01</t>
        </is>
      </c>
      <c r="D64" s="7" t="inlineStr">
        <is>
          <t>Báo giá thương mại</t>
        </is>
      </c>
      <c r="E64" s="7" t="inlineStr">
        <is>
          <t>Auto</t>
        </is>
      </c>
      <c r="F64" s="7" t="inlineStr">
        <is>
          <t>P2</t>
        </is>
      </c>
      <c r="G64" s="7" t="inlineStr">
        <is>
          <t>Not Executed</t>
        </is>
      </c>
      <c r="H64" s="7" t="inlineStr"/>
      <c r="I64" s="7" t="inlineStr"/>
    </row>
    <row r="65">
      <c r="A65" s="7" t="inlineStr">
        <is>
          <t>TC_SAL_032</t>
        </is>
      </c>
      <c r="B65" s="7" t="inlineStr">
        <is>
          <t>Sales</t>
        </is>
      </c>
      <c r="C65" s="7" t="inlineStr">
        <is>
          <t>F-SAL-01</t>
        </is>
      </c>
      <c r="D65" s="7" t="inlineStr">
        <is>
          <t>Báo giá thương mại</t>
        </is>
      </c>
      <c r="E65" s="7" t="inlineStr">
        <is>
          <t>Manual</t>
        </is>
      </c>
      <c r="F65" s="7" t="inlineStr">
        <is>
          <t>P2</t>
        </is>
      </c>
      <c r="G65" s="7" t="inlineStr">
        <is>
          <t>Not Executed</t>
        </is>
      </c>
      <c r="H65" s="7" t="inlineStr"/>
      <c r="I65" s="7" t="inlineStr"/>
    </row>
    <row r="66">
      <c r="A66" s="7" t="inlineStr">
        <is>
          <t>TC_SAL_033</t>
        </is>
      </c>
      <c r="B66" s="7" t="inlineStr">
        <is>
          <t>Sales</t>
        </is>
      </c>
      <c r="C66" s="7" t="inlineStr">
        <is>
          <t>F-SAL-01</t>
        </is>
      </c>
      <c r="D66" s="7" t="inlineStr">
        <is>
          <t>Báo giá thương mại</t>
        </is>
      </c>
      <c r="E66" s="7" t="inlineStr">
        <is>
          <t>Auto</t>
        </is>
      </c>
      <c r="F66" s="7" t="inlineStr">
        <is>
          <t>P2</t>
        </is>
      </c>
      <c r="G66" s="7" t="inlineStr">
        <is>
          <t>Not Executed</t>
        </is>
      </c>
      <c r="H66" s="7" t="inlineStr"/>
      <c r="I66" s="7" t="inlineStr"/>
    </row>
    <row r="67">
      <c r="A67" s="7" t="inlineStr">
        <is>
          <t>TC_SAL_034</t>
        </is>
      </c>
      <c r="B67" s="7" t="inlineStr">
        <is>
          <t>Sales</t>
        </is>
      </c>
      <c r="C67" s="7" t="inlineStr">
        <is>
          <t>F-SAL-02</t>
        </is>
      </c>
      <c r="D67" s="7" t="inlineStr">
        <is>
          <t>Hóa đơn bán hàng chuẩn</t>
        </is>
      </c>
      <c r="E67" s="7" t="inlineStr">
        <is>
          <t>Auto</t>
        </is>
      </c>
      <c r="F67" s="7" t="inlineStr">
        <is>
          <t>P1</t>
        </is>
      </c>
      <c r="G67" s="7" t="inlineStr">
        <is>
          <t>Not Executed</t>
        </is>
      </c>
      <c r="H67" s="7" t="inlineStr"/>
      <c r="I67" s="7" t="inlineStr"/>
    </row>
    <row r="68">
      <c r="A68" s="7" t="inlineStr">
        <is>
          <t>TC_SAL_035</t>
        </is>
      </c>
      <c r="B68" s="7" t="inlineStr">
        <is>
          <t>Sales</t>
        </is>
      </c>
      <c r="C68" s="7" t="inlineStr">
        <is>
          <t>F-SAL-02</t>
        </is>
      </c>
      <c r="D68" s="7" t="inlineStr">
        <is>
          <t>Hóa đơn bán hàng chuẩn</t>
        </is>
      </c>
      <c r="E68" s="7" t="inlineStr">
        <is>
          <t>Auto</t>
        </is>
      </c>
      <c r="F68" s="7" t="inlineStr">
        <is>
          <t>P2</t>
        </is>
      </c>
      <c r="G68" s="7" t="inlineStr">
        <is>
          <t>Not Executed</t>
        </is>
      </c>
      <c r="H68" s="7" t="inlineStr"/>
      <c r="I68" s="7" t="inlineStr"/>
    </row>
    <row r="69">
      <c r="A69" s="7" t="inlineStr">
        <is>
          <t>TC_SAL_036</t>
        </is>
      </c>
      <c r="B69" s="7" t="inlineStr">
        <is>
          <t>Sales</t>
        </is>
      </c>
      <c r="C69" s="7" t="inlineStr">
        <is>
          <t>F-SAL-02</t>
        </is>
      </c>
      <c r="D69" s="7" t="inlineStr">
        <is>
          <t>Hóa đơn bán hàng chuẩn</t>
        </is>
      </c>
      <c r="E69" s="7" t="inlineStr">
        <is>
          <t>Auto</t>
        </is>
      </c>
      <c r="F69" s="7" t="inlineStr">
        <is>
          <t>P1</t>
        </is>
      </c>
      <c r="G69" s="7" t="inlineStr">
        <is>
          <t>Not Executed</t>
        </is>
      </c>
      <c r="H69" s="7" t="inlineStr"/>
      <c r="I69" s="7" t="inlineStr"/>
    </row>
    <row r="70">
      <c r="A70" s="7" t="inlineStr">
        <is>
          <t>TC_SAL_037</t>
        </is>
      </c>
      <c r="B70" s="7" t="inlineStr">
        <is>
          <t>Sales</t>
        </is>
      </c>
      <c r="C70" s="7" t="inlineStr">
        <is>
          <t>F-SAL-02</t>
        </is>
      </c>
      <c r="D70" s="7" t="inlineStr">
        <is>
          <t>Hóa đơn bán hàng chuẩn</t>
        </is>
      </c>
      <c r="E70" s="7" t="inlineStr">
        <is>
          <t>Manual</t>
        </is>
      </c>
      <c r="F70" s="7" t="inlineStr">
        <is>
          <t>P2</t>
        </is>
      </c>
      <c r="G70" s="7" t="inlineStr">
        <is>
          <t>Not Executed</t>
        </is>
      </c>
      <c r="H70" s="7" t="inlineStr"/>
      <c r="I70" s="7" t="inlineStr"/>
    </row>
    <row r="71">
      <c r="A71" s="7" t="inlineStr">
        <is>
          <t>TC_SAL_038</t>
        </is>
      </c>
      <c r="B71" s="7" t="inlineStr">
        <is>
          <t>Sales</t>
        </is>
      </c>
      <c r="C71" s="7" t="inlineStr">
        <is>
          <t>F-SAL-02</t>
        </is>
      </c>
      <c r="D71" s="7" t="inlineStr">
        <is>
          <t>Hóa đơn bán hàng chuẩn</t>
        </is>
      </c>
      <c r="E71" s="7" t="inlineStr">
        <is>
          <t>Auto</t>
        </is>
      </c>
      <c r="F71" s="7" t="inlineStr">
        <is>
          <t>P2</t>
        </is>
      </c>
      <c r="G71" s="7" t="inlineStr">
        <is>
          <t>Not Executed</t>
        </is>
      </c>
      <c r="H71" s="7" t="inlineStr"/>
      <c r="I71" s="7" t="inlineStr"/>
    </row>
    <row r="72">
      <c r="A72" s="7" t="inlineStr">
        <is>
          <t>TC_SAL_039</t>
        </is>
      </c>
      <c r="B72" s="7" t="inlineStr">
        <is>
          <t>Sales</t>
        </is>
      </c>
      <c r="C72" s="7" t="inlineStr">
        <is>
          <t>F-SAL-03</t>
        </is>
      </c>
      <c r="D72" s="7" t="inlineStr">
        <is>
          <t>Hóa đơn đặc biệt</t>
        </is>
      </c>
      <c r="E72" s="7" t="inlineStr">
        <is>
          <t>Manual</t>
        </is>
      </c>
      <c r="F72" s="7" t="inlineStr">
        <is>
          <t>P2</t>
        </is>
      </c>
      <c r="G72" s="7" t="inlineStr">
        <is>
          <t>Not Executed</t>
        </is>
      </c>
      <c r="H72" s="7" t="inlineStr"/>
      <c r="I72" s="7" t="inlineStr"/>
    </row>
    <row r="73">
      <c r="A73" s="7" t="inlineStr">
        <is>
          <t>TC_SAL_040</t>
        </is>
      </c>
      <c r="B73" s="7" t="inlineStr">
        <is>
          <t>Sales</t>
        </is>
      </c>
      <c r="C73" s="7" t="inlineStr">
        <is>
          <t>F-SAL-03</t>
        </is>
      </c>
      <c r="D73" s="7" t="inlineStr">
        <is>
          <t>Hóa đơn đặc biệt</t>
        </is>
      </c>
      <c r="E73" s="7" t="inlineStr">
        <is>
          <t>Manual</t>
        </is>
      </c>
      <c r="F73" s="7" t="inlineStr">
        <is>
          <t>P1</t>
        </is>
      </c>
      <c r="G73" s="7" t="inlineStr">
        <is>
          <t>Not Executed</t>
        </is>
      </c>
      <c r="H73" s="7" t="inlineStr"/>
      <c r="I73" s="7" t="inlineStr"/>
    </row>
    <row r="74">
      <c r="A74" s="7" t="inlineStr">
        <is>
          <t>TC_SAL_041</t>
        </is>
      </c>
      <c r="B74" s="7" t="inlineStr">
        <is>
          <t>Sales</t>
        </is>
      </c>
      <c r="C74" s="7" t="inlineStr">
        <is>
          <t>F-SAL-03</t>
        </is>
      </c>
      <c r="D74" s="7" t="inlineStr">
        <is>
          <t>Hóa đơn đặc biệt</t>
        </is>
      </c>
      <c r="E74" s="7" t="inlineStr">
        <is>
          <t>Manual</t>
        </is>
      </c>
      <c r="F74" s="7" t="inlineStr">
        <is>
          <t>P2</t>
        </is>
      </c>
      <c r="G74" s="7" t="inlineStr">
        <is>
          <t>Not Executed</t>
        </is>
      </c>
      <c r="H74" s="7" t="inlineStr"/>
      <c r="I74" s="7" t="inlineStr"/>
    </row>
    <row r="75">
      <c r="A75" s="7" t="inlineStr">
        <is>
          <t>TC_SAL_042</t>
        </is>
      </c>
      <c r="B75" s="7" t="inlineStr">
        <is>
          <t>Sales</t>
        </is>
      </c>
      <c r="C75" s="7" t="inlineStr">
        <is>
          <t>F-SAL-03</t>
        </is>
      </c>
      <c r="D75" s="7" t="inlineStr">
        <is>
          <t>Hóa đơn đặc biệt</t>
        </is>
      </c>
      <c r="E75" s="7" t="inlineStr">
        <is>
          <t>Manual</t>
        </is>
      </c>
      <c r="F75" s="7" t="inlineStr">
        <is>
          <t>P2</t>
        </is>
      </c>
      <c r="G75" s="7" t="inlineStr">
        <is>
          <t>Not Executed</t>
        </is>
      </c>
      <c r="H75" s="7" t="inlineStr"/>
      <c r="I75" s="7" t="inlineStr"/>
    </row>
    <row r="76">
      <c r="A76" s="7" t="inlineStr">
        <is>
          <t>TC_STK_001</t>
        </is>
      </c>
      <c r="B76" s="7" t="inlineStr">
        <is>
          <t>Stock</t>
        </is>
      </c>
      <c r="C76" s="7" t="inlineStr">
        <is>
          <t>F-STK-02</t>
        </is>
      </c>
      <c r="D76" s="7" t="inlineStr">
        <is>
          <t>Điều chỉnh tồn kho thủ công</t>
        </is>
      </c>
      <c r="E76" s="7" t="inlineStr">
        <is>
          <t>Manual</t>
        </is>
      </c>
      <c r="F76" s="7" t="inlineStr">
        <is>
          <t>P1</t>
        </is>
      </c>
      <c r="G76" s="7" t="inlineStr">
        <is>
          <t>Not Executed</t>
        </is>
      </c>
      <c r="H76" s="7" t="inlineStr"/>
      <c r="I76" s="7" t="inlineStr"/>
    </row>
    <row r="77">
      <c r="A77" s="7" t="inlineStr">
        <is>
          <t>TC_STK_002</t>
        </is>
      </c>
      <c r="B77" s="7" t="inlineStr">
        <is>
          <t>Stock</t>
        </is>
      </c>
      <c r="C77" s="7" t="inlineStr">
        <is>
          <t>F-STK-02</t>
        </is>
      </c>
      <c r="D77" s="7" t="inlineStr">
        <is>
          <t>Điều chỉnh tồn kho thủ công</t>
        </is>
      </c>
      <c r="E77" s="7" t="inlineStr">
        <is>
          <t>Manual</t>
        </is>
      </c>
      <c r="F77" s="7" t="inlineStr">
        <is>
          <t>P1</t>
        </is>
      </c>
      <c r="G77" s="7" t="inlineStr">
        <is>
          <t>Not Executed</t>
        </is>
      </c>
      <c r="H77" s="7" t="inlineStr"/>
      <c r="I77" s="7" t="inlineStr"/>
    </row>
    <row r="78">
      <c r="A78" s="7" t="inlineStr">
        <is>
          <t>TC_STK_003</t>
        </is>
      </c>
      <c r="B78" s="7" t="inlineStr">
        <is>
          <t>Stock</t>
        </is>
      </c>
      <c r="C78" s="7" t="inlineStr">
        <is>
          <t>F-STK-02</t>
        </is>
      </c>
      <c r="D78" s="7" t="inlineStr">
        <is>
          <t>Điều chỉnh tồn kho thủ công</t>
        </is>
      </c>
      <c r="E78" s="7" t="inlineStr">
        <is>
          <t>Manual</t>
        </is>
      </c>
      <c r="F78" s="7" t="inlineStr">
        <is>
          <t>P2</t>
        </is>
      </c>
      <c r="G78" s="7" t="inlineStr">
        <is>
          <t>Not Executed</t>
        </is>
      </c>
      <c r="H78" s="7" t="inlineStr"/>
      <c r="I78" s="7" t="inlineStr"/>
    </row>
    <row r="79">
      <c r="A79" s="7" t="inlineStr">
        <is>
          <t>TC_STK_004</t>
        </is>
      </c>
      <c r="B79" s="7" t="inlineStr">
        <is>
          <t>Stock</t>
        </is>
      </c>
      <c r="C79" s="7" t="inlineStr">
        <is>
          <t>F-STK-03</t>
        </is>
      </c>
      <c r="D79" s="7" t="inlineStr">
        <is>
          <t>Cảnh báo tồn kho tối thiểu</t>
        </is>
      </c>
      <c r="E79" s="7" t="inlineStr">
        <is>
          <t>Manual</t>
        </is>
      </c>
      <c r="F79" s="7" t="inlineStr">
        <is>
          <t>P1</t>
        </is>
      </c>
      <c r="G79" s="7" t="inlineStr">
        <is>
          <t>Not Executed</t>
        </is>
      </c>
      <c r="H79" s="7" t="inlineStr"/>
      <c r="I79" s="7" t="inlineStr"/>
    </row>
    <row r="80">
      <c r="A80" s="7" t="inlineStr">
        <is>
          <t>TC_STK_005</t>
        </is>
      </c>
      <c r="B80" s="7" t="inlineStr">
        <is>
          <t>Stock</t>
        </is>
      </c>
      <c r="C80" s="7" t="inlineStr">
        <is>
          <t>F-STK-02</t>
        </is>
      </c>
      <c r="D80" s="7" t="inlineStr">
        <is>
          <t>Điều chỉnh tồn kho thủ công</t>
        </is>
      </c>
      <c r="E80" s="7" t="inlineStr">
        <is>
          <t>Manual</t>
        </is>
      </c>
      <c r="F80" s="7" t="inlineStr">
        <is>
          <t>P1</t>
        </is>
      </c>
      <c r="G80" s="7" t="inlineStr">
        <is>
          <t>Not Executed</t>
        </is>
      </c>
      <c r="H80" s="7" t="inlineStr"/>
      <c r="I80" s="7" t="inlineStr"/>
    </row>
    <row r="81">
      <c r="A81" s="7" t="inlineStr">
        <is>
          <t>TC_STK_006</t>
        </is>
      </c>
      <c r="B81" s="7" t="inlineStr">
        <is>
          <t>Stock</t>
        </is>
      </c>
      <c r="C81" s="7" t="inlineStr">
        <is>
          <t>F-STK-02</t>
        </is>
      </c>
      <c r="D81" s="7" t="inlineStr">
        <is>
          <t>Điều chỉnh tồn kho thủ công</t>
        </is>
      </c>
      <c r="E81" s="7" t="inlineStr">
        <is>
          <t>Manual</t>
        </is>
      </c>
      <c r="F81" s="7" t="inlineStr">
        <is>
          <t>P1</t>
        </is>
      </c>
      <c r="G81" s="7" t="inlineStr">
        <is>
          <t>Not Executed</t>
        </is>
      </c>
      <c r="H81" s="7" t="inlineStr"/>
      <c r="I81" s="7" t="inlineStr"/>
    </row>
    <row r="82">
      <c r="A82" s="7" t="inlineStr">
        <is>
          <t>TC_STK_007</t>
        </is>
      </c>
      <c r="B82" s="7" t="inlineStr">
        <is>
          <t>Stock</t>
        </is>
      </c>
      <c r="C82" s="7" t="inlineStr">
        <is>
          <t>F-STK-03</t>
        </is>
      </c>
      <c r="D82" s="7" t="inlineStr">
        <is>
          <t>Cảnh báo tồn kho tối thiểu</t>
        </is>
      </c>
      <c r="E82" s="7" t="inlineStr">
        <is>
          <t>Manual</t>
        </is>
      </c>
      <c r="F82" s="7" t="inlineStr">
        <is>
          <t>P1</t>
        </is>
      </c>
      <c r="G82" s="7" t="inlineStr">
        <is>
          <t>Not Executed</t>
        </is>
      </c>
      <c r="H82" s="7" t="inlineStr"/>
      <c r="I82" s="7" t="inlineStr"/>
    </row>
    <row r="83">
      <c r="A83" s="7" t="inlineStr">
        <is>
          <t>TC_STK_008</t>
        </is>
      </c>
      <c r="B83" s="7" t="inlineStr">
        <is>
          <t>Stock</t>
        </is>
      </c>
      <c r="C83" s="7" t="inlineStr">
        <is>
          <t>F-STK-02</t>
        </is>
      </c>
      <c r="D83" s="7" t="inlineStr">
        <is>
          <t>Điều chỉnh tồn kho thủ công</t>
        </is>
      </c>
      <c r="E83" s="7" t="inlineStr">
        <is>
          <t>Manual</t>
        </is>
      </c>
      <c r="F83" s="7" t="inlineStr">
        <is>
          <t>P2</t>
        </is>
      </c>
      <c r="G83" s="7" t="inlineStr">
        <is>
          <t>Not Executed</t>
        </is>
      </c>
      <c r="H83" s="7" t="inlineStr"/>
      <c r="I83" s="7" t="inlineStr"/>
    </row>
    <row r="84">
      <c r="A84" s="7" t="inlineStr">
        <is>
          <t>TC_STK_009</t>
        </is>
      </c>
      <c r="B84" s="7" t="inlineStr">
        <is>
          <t>Stock</t>
        </is>
      </c>
      <c r="C84" s="7" t="inlineStr">
        <is>
          <t>F-STK-02</t>
        </is>
      </c>
      <c r="D84" s="7" t="inlineStr">
        <is>
          <t>Điều chỉnh tồn kho thủ công</t>
        </is>
      </c>
      <c r="E84" s="7" t="inlineStr">
        <is>
          <t>Manual</t>
        </is>
      </c>
      <c r="F84" s="7" t="inlineStr">
        <is>
          <t>P2</t>
        </is>
      </c>
      <c r="G84" s="7" t="inlineStr">
        <is>
          <t>Not Executed</t>
        </is>
      </c>
      <c r="H84" s="7" t="inlineStr"/>
      <c r="I84" s="7" t="inlineStr"/>
    </row>
    <row r="85">
      <c r="A85" s="7" t="inlineStr">
        <is>
          <t>TC_STK_010</t>
        </is>
      </c>
      <c r="B85" s="7" t="inlineStr">
        <is>
          <t>Stock</t>
        </is>
      </c>
      <c r="C85" s="7" t="inlineStr">
        <is>
          <t>F-STK-02</t>
        </is>
      </c>
      <c r="D85" s="7" t="inlineStr">
        <is>
          <t>Điều chỉnh tồn kho thủ công</t>
        </is>
      </c>
      <c r="E85" s="7" t="inlineStr">
        <is>
          <t>Auto</t>
        </is>
      </c>
      <c r="F85" s="7" t="inlineStr">
        <is>
          <t>P2</t>
        </is>
      </c>
      <c r="G85" s="7" t="inlineStr">
        <is>
          <t>Passed</t>
        </is>
      </c>
      <c r="H85" s="7" t="inlineStr"/>
      <c r="I85" s="7" t="inlineStr">
        <is>
          <t>2026-10-19</t>
        </is>
      </c>
    </row>
    <row r="86">
      <c r="A86" s="7" t="inlineStr">
        <is>
          <t>TC_STK_011</t>
        </is>
      </c>
      <c r="B86" s="7" t="inlineStr">
        <is>
          <t>Stock</t>
        </is>
      </c>
      <c r="C86" s="7" t="inlineStr">
        <is>
          <t>F-STK-03</t>
        </is>
      </c>
      <c r="D86" s="7" t="inlineStr">
        <is>
          <t>Cảnh báo tồn kho tối thiểu</t>
        </is>
      </c>
      <c r="E86" s="7" t="inlineStr">
        <is>
          <t>Manual</t>
        </is>
      </c>
      <c r="F86" s="7" t="inlineStr">
        <is>
          <t>P1</t>
        </is>
      </c>
      <c r="G86" s="7" t="inlineStr">
        <is>
          <t>Not Executed</t>
        </is>
      </c>
      <c r="H86" s="7" t="inlineStr"/>
      <c r="I86" s="7" t="inlineStr"/>
    </row>
    <row r="87">
      <c r="A87" s="7" t="inlineStr">
        <is>
          <t>TC_STK_012</t>
        </is>
      </c>
      <c r="B87" s="7" t="inlineStr">
        <is>
          <t>Stock</t>
        </is>
      </c>
      <c r="C87" s="7" t="inlineStr">
        <is>
          <t>F-STK-02</t>
        </is>
      </c>
      <c r="D87" s="7" t="inlineStr">
        <is>
          <t>Điều chỉnh tồn kho thủ công</t>
        </is>
      </c>
      <c r="E87" s="7" t="inlineStr">
        <is>
          <t>Manual</t>
        </is>
      </c>
      <c r="F87" s="7" t="inlineStr">
        <is>
          <t>P2</t>
        </is>
      </c>
      <c r="G87" s="7" t="inlineStr">
        <is>
          <t>Not Executed</t>
        </is>
      </c>
      <c r="H87" s="7" t="inlineStr"/>
      <c r="I87" s="7" t="inlineStr"/>
    </row>
    <row r="88">
      <c r="A88" s="7" t="inlineStr">
        <is>
          <t>TC_STK_013</t>
        </is>
      </c>
      <c r="B88" s="7" t="inlineStr">
        <is>
          <t>Stock</t>
        </is>
      </c>
      <c r="C88" s="7" t="inlineStr">
        <is>
          <t>F-STK-02</t>
        </is>
      </c>
      <c r="D88" s="7" t="inlineStr">
        <is>
          <t>Điều chỉnh tồn kho thủ công</t>
        </is>
      </c>
      <c r="E88" s="7" t="inlineStr">
        <is>
          <t>Manual</t>
        </is>
      </c>
      <c r="F88" s="7" t="inlineStr">
        <is>
          <t>P2</t>
        </is>
      </c>
      <c r="G88" s="7" t="inlineStr">
        <is>
          <t>Not Executed</t>
        </is>
      </c>
      <c r="H88" s="7" t="inlineStr"/>
      <c r="I88" s="7" t="inlineStr"/>
    </row>
    <row r="89">
      <c r="A89" s="7" t="inlineStr">
        <is>
          <t>TC_STK_014</t>
        </is>
      </c>
      <c r="B89" s="7" t="inlineStr">
        <is>
          <t>Stock</t>
        </is>
      </c>
      <c r="C89" s="7" t="inlineStr">
        <is>
          <t>F-STK-03</t>
        </is>
      </c>
      <c r="D89" s="7" t="inlineStr">
        <is>
          <t>Cảnh báo tồn kho tối thiểu</t>
        </is>
      </c>
      <c r="E89" s="7" t="inlineStr">
        <is>
          <t>Auto</t>
        </is>
      </c>
      <c r="F89" s="7" t="inlineStr">
        <is>
          <t>P3</t>
        </is>
      </c>
      <c r="G89" s="7" t="inlineStr">
        <is>
          <t>Not Executed</t>
        </is>
      </c>
      <c r="H89" s="7" t="inlineStr"/>
      <c r="I89" s="7" t="inlineStr">
        <is>
          <t>2026-10-19</t>
        </is>
      </c>
    </row>
    <row r="90">
      <c r="A90" s="7" t="inlineStr">
        <is>
          <t>TC_STK_015</t>
        </is>
      </c>
      <c r="B90" s="7" t="inlineStr">
        <is>
          <t>Stock</t>
        </is>
      </c>
      <c r="C90" s="7" t="inlineStr">
        <is>
          <t>F-STK-01</t>
        </is>
      </c>
      <c r="D90" s="7" t="inlineStr">
        <is>
          <t>Trừ kho tự động theo hóa đơn</t>
        </is>
      </c>
      <c r="E90" s="7" t="inlineStr">
        <is>
          <t>Auto</t>
        </is>
      </c>
      <c r="F90" s="7" t="inlineStr">
        <is>
          <t>P1</t>
        </is>
      </c>
      <c r="G90" s="7" t="inlineStr">
        <is>
          <t>Not Executed</t>
        </is>
      </c>
      <c r="H90" s="7" t="inlineStr"/>
      <c r="I90" s="7" t="inlineStr"/>
    </row>
    <row r="91">
      <c r="A91" s="7" t="inlineStr">
        <is>
          <t>TC_STK_016</t>
        </is>
      </c>
      <c r="B91" s="7" t="inlineStr">
        <is>
          <t>Stock</t>
        </is>
      </c>
      <c r="C91" s="7" t="inlineStr">
        <is>
          <t>F-STK-01</t>
        </is>
      </c>
      <c r="D91" s="7" t="inlineStr">
        <is>
          <t>Trừ kho tự động theo hóa đơn</t>
        </is>
      </c>
      <c r="E91" s="7" t="inlineStr">
        <is>
          <t>Auto</t>
        </is>
      </c>
      <c r="F91" s="7" t="inlineStr">
        <is>
          <t>P1</t>
        </is>
      </c>
      <c r="G91" s="7" t="inlineStr">
        <is>
          <t>Not Executed</t>
        </is>
      </c>
      <c r="H91" s="7" t="inlineStr"/>
      <c r="I91" s="7" t="inlineStr"/>
    </row>
    <row r="92">
      <c r="A92" s="7" t="inlineStr">
        <is>
          <t>TC_STK_017</t>
        </is>
      </c>
      <c r="B92" s="7" t="inlineStr">
        <is>
          <t>Stock</t>
        </is>
      </c>
      <c r="C92" s="7" t="inlineStr">
        <is>
          <t>F-STK-01</t>
        </is>
      </c>
      <c r="D92" s="7" t="inlineStr">
        <is>
          <t>Trừ kho tự động theo hóa đơn</t>
        </is>
      </c>
      <c r="E92" s="7" t="inlineStr">
        <is>
          <t>Auto</t>
        </is>
      </c>
      <c r="F92" s="7" t="inlineStr">
        <is>
          <t>P1</t>
        </is>
      </c>
      <c r="G92" s="7" t="inlineStr">
        <is>
          <t>Not Executed</t>
        </is>
      </c>
      <c r="H92" s="7" t="inlineStr"/>
      <c r="I92" s="7" t="inlineStr"/>
    </row>
    <row r="93">
      <c r="A93" s="7" t="inlineStr">
        <is>
          <t>TC_STK_018</t>
        </is>
      </c>
      <c r="B93" s="7" t="inlineStr">
        <is>
          <t>Stock</t>
        </is>
      </c>
      <c r="C93" s="7" t="inlineStr">
        <is>
          <t>F-STK-01</t>
        </is>
      </c>
      <c r="D93" s="7" t="inlineStr">
        <is>
          <t>Trừ kho tự động theo hóa đơn</t>
        </is>
      </c>
      <c r="E93" s="7" t="inlineStr">
        <is>
          <t>Manual</t>
        </is>
      </c>
      <c r="F93" s="7" t="inlineStr">
        <is>
          <t>P1</t>
        </is>
      </c>
      <c r="G93" s="7" t="inlineStr">
        <is>
          <t>Not Executed</t>
        </is>
      </c>
      <c r="H93" s="7" t="inlineStr"/>
      <c r="I93" s="7" t="inlineStr"/>
    </row>
    <row r="94">
      <c r="A94" s="7" t="inlineStr">
        <is>
          <t>TC_STK_019</t>
        </is>
      </c>
      <c r="B94" s="7" t="inlineStr">
        <is>
          <t>Stock</t>
        </is>
      </c>
      <c r="C94" s="7" t="inlineStr">
        <is>
          <t>F-STK-02</t>
        </is>
      </c>
      <c r="D94" s="7" t="inlineStr">
        <is>
          <t>Điều chỉnh tồn kho thủ công</t>
        </is>
      </c>
      <c r="E94" s="7" t="inlineStr">
        <is>
          <t>Auto</t>
        </is>
      </c>
      <c r="F94" s="7" t="inlineStr">
        <is>
          <t>P2</t>
        </is>
      </c>
      <c r="G94" s="7" t="inlineStr">
        <is>
          <t>Not Executed</t>
        </is>
      </c>
      <c r="H94" s="7" t="inlineStr"/>
      <c r="I94" s="7" t="inlineStr"/>
    </row>
    <row r="95">
      <c r="A95" s="7" t="inlineStr">
        <is>
          <t>TC_STK_020</t>
        </is>
      </c>
      <c r="B95" s="7" t="inlineStr">
        <is>
          <t>Stock</t>
        </is>
      </c>
      <c r="C95" s="7" t="inlineStr">
        <is>
          <t>F-STK-02</t>
        </is>
      </c>
      <c r="D95" s="7" t="inlineStr">
        <is>
          <t>Điều chỉnh tồn kho thủ công</t>
        </is>
      </c>
      <c r="E95" s="7" t="inlineStr">
        <is>
          <t>Manual</t>
        </is>
      </c>
      <c r="F95" s="7" t="inlineStr">
        <is>
          <t>P1</t>
        </is>
      </c>
      <c r="G95" s="7" t="inlineStr">
        <is>
          <t>Not Executed</t>
        </is>
      </c>
      <c r="H95" s="7" t="inlineStr"/>
      <c r="I95" s="7" t="inlineStr"/>
    </row>
    <row r="96">
      <c r="A96" s="7" t="inlineStr">
        <is>
          <t>TC_STK_021</t>
        </is>
      </c>
      <c r="B96" s="7" t="inlineStr">
        <is>
          <t>Stock</t>
        </is>
      </c>
      <c r="C96" s="7" t="inlineStr">
        <is>
          <t>F-STK-02</t>
        </is>
      </c>
      <c r="D96" s="7" t="inlineStr">
        <is>
          <t>Điều chỉnh tồn kho thủ công</t>
        </is>
      </c>
      <c r="E96" s="7" t="inlineStr">
        <is>
          <t>Auto</t>
        </is>
      </c>
      <c r="F96" s="7" t="inlineStr">
        <is>
          <t>P2</t>
        </is>
      </c>
      <c r="G96" s="7" t="inlineStr">
        <is>
          <t>Not Executed</t>
        </is>
      </c>
      <c r="H96" s="7" t="inlineStr"/>
      <c r="I96" s="7" t="inlineStr"/>
    </row>
    <row r="97">
      <c r="A97" s="7" t="inlineStr">
        <is>
          <t>TC_STK_022</t>
        </is>
      </c>
      <c r="B97" s="7" t="inlineStr">
        <is>
          <t>Stock</t>
        </is>
      </c>
      <c r="C97" s="7" t="inlineStr">
        <is>
          <t>F-STK-02</t>
        </is>
      </c>
      <c r="D97" s="7" t="inlineStr">
        <is>
          <t>Điều chỉnh tồn kho thủ công</t>
        </is>
      </c>
      <c r="E97" s="7" t="inlineStr">
        <is>
          <t>Manual</t>
        </is>
      </c>
      <c r="F97" s="7" t="inlineStr">
        <is>
          <t>P2</t>
        </is>
      </c>
      <c r="G97" s="7" t="inlineStr">
        <is>
          <t>Not Executed</t>
        </is>
      </c>
      <c r="H97" s="7" t="inlineStr"/>
      <c r="I97" s="7" t="inlineStr"/>
    </row>
    <row r="98">
      <c r="A98" s="7" t="inlineStr">
        <is>
          <t>TC_STK_023</t>
        </is>
      </c>
      <c r="B98" s="7" t="inlineStr">
        <is>
          <t>Stock</t>
        </is>
      </c>
      <c r="C98" s="7" t="inlineStr">
        <is>
          <t>F-STK-03</t>
        </is>
      </c>
      <c r="D98" s="7" t="inlineStr">
        <is>
          <t>Cảnh báo tồn kho tối thiểu</t>
        </is>
      </c>
      <c r="E98" s="7" t="inlineStr">
        <is>
          <t>Auto</t>
        </is>
      </c>
      <c r="F98" s="7" t="inlineStr">
        <is>
          <t>P2</t>
        </is>
      </c>
      <c r="G98" s="7" t="inlineStr">
        <is>
          <t>Not Executed</t>
        </is>
      </c>
      <c r="H98" s="7" t="inlineStr"/>
      <c r="I98" s="7" t="inlineStr"/>
    </row>
    <row r="99">
      <c r="A99" s="7" t="inlineStr">
        <is>
          <t>TC_STK_024</t>
        </is>
      </c>
      <c r="B99" s="7" t="inlineStr">
        <is>
          <t>Stock</t>
        </is>
      </c>
      <c r="C99" s="7" t="inlineStr">
        <is>
          <t>F-STK-03</t>
        </is>
      </c>
      <c r="D99" s="7" t="inlineStr">
        <is>
          <t>Cảnh báo tồn kho tối thiểu</t>
        </is>
      </c>
      <c r="E99" s="7" t="inlineStr">
        <is>
          <t>Manual</t>
        </is>
      </c>
      <c r="F99" s="7" t="inlineStr">
        <is>
          <t>P3</t>
        </is>
      </c>
      <c r="G99" s="7" t="inlineStr">
        <is>
          <t>Not Executed</t>
        </is>
      </c>
      <c r="H99" s="7" t="inlineStr"/>
      <c r="I99" s="7" t="inlineStr"/>
    </row>
    <row r="100">
      <c r="A100" s="7" t="inlineStr">
        <is>
          <t>TC_STK_025</t>
        </is>
      </c>
      <c r="B100" s="7" t="inlineStr">
        <is>
          <t>Stock</t>
        </is>
      </c>
      <c r="C100" s="7" t="inlineStr">
        <is>
          <t>F-STK-03</t>
        </is>
      </c>
      <c r="D100" s="7" t="inlineStr">
        <is>
          <t>Cảnh báo tồn kho tối thiểu</t>
        </is>
      </c>
      <c r="E100" s="7" t="inlineStr">
        <is>
          <t>Manual</t>
        </is>
      </c>
      <c r="F100" s="7" t="inlineStr">
        <is>
          <t>P2</t>
        </is>
      </c>
      <c r="G100" s="7" t="inlineStr">
        <is>
          <t>Not Executed</t>
        </is>
      </c>
      <c r="H100" s="7" t="inlineStr"/>
      <c r="I100" s="7" t="inlineStr"/>
    </row>
    <row r="101">
      <c r="A101" s="7" t="inlineStr">
        <is>
          <t>TC_STK_026</t>
        </is>
      </c>
      <c r="B101" s="7" t="inlineStr">
        <is>
          <t>Stock</t>
        </is>
      </c>
      <c r="C101" s="7" t="inlineStr">
        <is>
          <t>F-STK-03</t>
        </is>
      </c>
      <c r="D101" s="7" t="inlineStr">
        <is>
          <t>Cảnh báo tồn kho tối thiểu</t>
        </is>
      </c>
      <c r="E101" s="7" t="inlineStr">
        <is>
          <t>Manual</t>
        </is>
      </c>
      <c r="F101" s="7" t="inlineStr">
        <is>
          <t>P3</t>
        </is>
      </c>
      <c r="G101" s="7" t="inlineStr">
        <is>
          <t>Not Executed</t>
        </is>
      </c>
      <c r="H101" s="7" t="inlineStr"/>
      <c r="I101" s="7" t="inlineStr"/>
    </row>
  </sheetData>
  <autoFilter ref="A1:I101"/>
  <conditionalFormatting sqref="G2:G101">
    <cfRule type="cellIs" priority="1" operator="equal" dxfId="0">
      <formula>"Passed"</formula>
    </cfRule>
    <cfRule type="cellIs" priority="2" operator="equal" dxfId="1">
      <formula>"Failed"</formula>
    </cfRule>
    <cfRule type="cellIs" priority="3" operator="equal" dxfId="2">
      <formula>"Not Executed"</formula>
    </cfRule>
    <cfRule type="cellIs" priority="4" operator="equal" dxfId="3">
      <formula>"Blocked"</formula>
    </cfRule>
  </conditionalFormatting>
  <dataValidations count="1">
    <dataValidation sqref="G2:G101" showDropDown="0" showInputMessage="0" showErrorMessage="0" allowBlank="1" type="list">
      <formula1>"Passed,Failed,Not Executed,Blocked"</formula1>
    </dataValidation>
  </dataValidations>
  <pageMargins left="0.4" right="0.4"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Đặng Hải Phi (23DH112608)</dc:creator>
  <dcterms:created xmlns:dcterms="http://purl.org/dc/terms/" xmlns:xsi="http://www.w3.org/2001/XMLSchema-instance" xsi:type="dcterms:W3CDTF">2026-10-19T07:56:52Z</dcterms:created>
  <dcterms:modified xmlns:dcterms="http://purl.org/dc/terms/" xmlns:xsi="http://www.w3.org/2001/XMLSchema-instance" xsi:type="dcterms:W3CDTF">2026-10-19T08:31:13Z</dcterms:modified>
</cp:coreProperties>
</file>