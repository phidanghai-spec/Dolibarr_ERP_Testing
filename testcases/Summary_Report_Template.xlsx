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ABBF966-4C92-4B99-A305-5608B97676F5}" xr6:coauthVersionLast="36" xr6:coauthVersionMax="47" xr10:uidLastSave="{00000000-0000-0000-0000-000000000000}"/>
  <bookViews>
    <workbookView xWindow="0" yWindow="0" windowWidth="19200" windowHeight="7790" firstSheet="1" activeTab="4" xr2:uid="{00000000-000D-0000-FFFF-FFFF00000000}"/>
  </bookViews>
  <sheets>
    <sheet name="Cover Page" sheetId="9" r:id="rId1"/>
    <sheet name="0. Project Information" sheetId="23" r:id="rId2"/>
    <sheet name="1. Summary Report" sheetId="21" r:id="rId3"/>
    <sheet name="2. Defects Report" sheetId="19" r:id="rId4"/>
    <sheet name="Evident" sheetId="25" r:id="rId5"/>
    <sheet name="Data Range" sheetId="24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1" l="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21" i="21"/>
  <c r="I22" i="21"/>
  <c r="D23" i="21"/>
  <c r="I23" i="21" s="1"/>
  <c r="D24" i="21"/>
  <c r="I24" i="21" s="1"/>
  <c r="D25" i="21"/>
  <c r="I25" i="21" s="1"/>
  <c r="D26" i="21"/>
  <c r="I26" i="21" s="1"/>
  <c r="D27" i="21"/>
  <c r="I27" i="21" s="1"/>
  <c r="D28" i="21"/>
  <c r="I28" i="21" s="1"/>
  <c r="D29" i="21"/>
  <c r="I29" i="21" s="1"/>
  <c r="D30" i="21"/>
  <c r="I30" i="21" s="1"/>
  <c r="D31" i="21"/>
  <c r="I31" i="21" s="1"/>
  <c r="D32" i="21"/>
  <c r="I32" i="21" s="1"/>
  <c r="D33" i="21"/>
  <c r="I33" i="21" s="1"/>
  <c r="D34" i="21"/>
  <c r="I34" i="21" s="1"/>
  <c r="I21" i="21"/>
  <c r="G16" i="21"/>
  <c r="C14" i="21"/>
  <c r="C13" i="21" l="1"/>
  <c r="G11" i="21"/>
  <c r="G10" i="21"/>
  <c r="G12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8" authorId="0" shapeId="0" xr:uid="{65ACCD81-4D8E-40A0-A83F-361603DB0554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Liệt kê các chức năng hoặc chủ đề cần thực thi kiểm thử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890BB7AB-D136-4732-A87F-F76062F044CD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Liệt kê các chức năng hoặc chủ đề cần thực thi kiểm thử</t>
        </r>
      </text>
    </comment>
    <comment ref="F4" authorId="0" shapeId="0" xr:uid="{CD904738-E511-4AFB-A310-C21702E8526F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Mô tả các bước thực hiện dẫn đến lỗi xuất hiện.</t>
        </r>
      </text>
    </comment>
    <comment ref="G4" authorId="0" shapeId="0" xr:uid="{96BCE50E-EECC-4594-8A0A-F2B38044D17C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Hình ảnh minh chứng cho lỗi tìm thấy</t>
        </r>
      </text>
    </comment>
    <comment ref="I4" authorId="0" shapeId="0" xr:uid="{0B03B897-600E-4761-9335-4134363E327D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Kết quả mong đợi trả về từ phần mềm cho bước đã mô tả ở cột Step to Reproduce</t>
        </r>
      </text>
    </comment>
    <comment ref="J4" authorId="0" shapeId="0" xr:uid="{F6E1891C-21C9-45F1-95B7-F2CAFFFF7A2B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Kết quả thực tế quan sát được từ phần mềm tại bước thực hiện đã mô tả ở cột Step to Reproduce</t>
        </r>
      </text>
    </comment>
    <comment ref="K4" authorId="0" shapeId="0" xr:uid="{B7783831-5D12-49FD-B7E4-3667D258B74E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Thứ tự ưu tiên sửa lỗi</t>
        </r>
      </text>
    </comment>
    <comment ref="L4" authorId="0" shapeId="0" xr:uid="{AC9953CB-62F1-4EB8-90E6-DD540407020F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Mức độ ảnh hưởng của lỗi đối với phần mềm</t>
        </r>
      </text>
    </comment>
    <comment ref="N4" authorId="0" shapeId="0" xr:uid="{14E96E41-A344-4FDA-9E2D-08E2DB476B82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Họ tên của người đã tìm ra lỗi</t>
        </r>
      </text>
    </comment>
    <comment ref="O4" authorId="0" shapeId="0" xr:uid="{2D160DD9-C880-476A-B39F-08686F9C2187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Ngày phát hiện ra lỗi</t>
        </r>
      </text>
    </comment>
    <comment ref="P4" authorId="0" shapeId="0" xr:uid="{43E8B467-DE00-41D2-8AAE-764B918A0DCE}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Phiên bản của phần mềm dùng để chạy kiểm thử</t>
        </r>
      </text>
    </comment>
  </commentList>
</comments>
</file>

<file path=xl/sharedStrings.xml><?xml version="1.0" encoding="utf-8"?>
<sst xmlns="http://schemas.openxmlformats.org/spreadsheetml/2006/main" count="139" uniqueCount="105">
  <si>
    <t>Practical Software Engineering Series</t>
  </si>
  <si>
    <t>TEST SUMMARY REPORT</t>
  </si>
  <si>
    <t>Version : 0.1</t>
  </si>
  <si>
    <t>Document Control information</t>
  </si>
  <si>
    <t>Faculty</t>
  </si>
  <si>
    <t>Faculty of Information Technology</t>
  </si>
  <si>
    <t>Issue Date:</t>
  </si>
  <si>
    <t>Author:</t>
  </si>
  <si>
    <t>Confidential Class:</t>
  </si>
  <si>
    <t>Document Revision History</t>
  </si>
  <si>
    <t>Date</t>
  </si>
  <si>
    <t>Version</t>
  </si>
  <si>
    <t>Description</t>
  </si>
  <si>
    <t>Revised by</t>
  </si>
  <si>
    <t>Project Information</t>
  </si>
  <si>
    <t>Project Name</t>
  </si>
  <si>
    <t>Issue Date</t>
  </si>
  <si>
    <t>Author</t>
  </si>
  <si>
    <t>Reviewer Information</t>
  </si>
  <si>
    <t>Name</t>
  </si>
  <si>
    <t>Department</t>
  </si>
  <si>
    <t>Position</t>
  </si>
  <si>
    <t>Approver Information</t>
  </si>
  <si>
    <t>OVERALL INFORMATION</t>
  </si>
  <si>
    <t>Test Purpose</t>
  </si>
  <si>
    <t>Number of testers</t>
  </si>
  <si>
    <t>OVERALL STATUS</t>
  </si>
  <si>
    <t>Total Number of Test Cases</t>
  </si>
  <si>
    <t>Executed</t>
  </si>
  <si>
    <t>Passed</t>
  </si>
  <si>
    <t>Failed</t>
  </si>
  <si>
    <t>Total Tests Executed 
(Passed + Failed)</t>
  </si>
  <si>
    <t>Not Executed</t>
  </si>
  <si>
    <t>Blocked</t>
  </si>
  <si>
    <t>Number of Defects</t>
  </si>
  <si>
    <t>Critical</t>
  </si>
  <si>
    <t>High</t>
  </si>
  <si>
    <t>Medium</t>
  </si>
  <si>
    <t>Total Defects
(Critical + High + Medium)</t>
  </si>
  <si>
    <t>Test Subject</t>
  </si>
  <si>
    <t>Priority</t>
  </si>
  <si>
    <t>Total Test Cases</t>
  </si>
  <si>
    <t>Test Runs</t>
  </si>
  <si>
    <t>Defects</t>
  </si>
  <si>
    <t>Comments</t>
  </si>
  <si>
    <t>Status</t>
  </si>
  <si>
    <t>Fail Rate</t>
  </si>
  <si>
    <t>Total Defects</t>
  </si>
  <si>
    <t>Line of code
(LOC)</t>
  </si>
  <si>
    <t>Defects fixed</t>
  </si>
  <si>
    <t>Fixed Rate</t>
  </si>
  <si>
    <t>DEFECTS REPORT</t>
  </si>
  <si>
    <t>No.</t>
  </si>
  <si>
    <t>Defect ID</t>
  </si>
  <si>
    <t>Title</t>
  </si>
  <si>
    <t>Steps to Reproduce</t>
  </si>
  <si>
    <t>Evidences</t>
  </si>
  <si>
    <t>Expected Result</t>
  </si>
  <si>
    <t>Actual Result</t>
  </si>
  <si>
    <t>Severity</t>
  </si>
  <si>
    <t>Raised By</t>
  </si>
  <si>
    <t>Raised Date</t>
  </si>
  <si>
    <t>Tested on build version</t>
  </si>
  <si>
    <t>Thêm Khóa mới</t>
  </si>
  <si>
    <t>DF_TK_01</t>
  </si>
  <si>
    <t>Hệ thống không báo lỗi khi người dùng tạo khóa mới trùng lặp cho cùng một ngành học.</t>
  </si>
  <si>
    <r>
      <rPr>
        <b/>
        <sz val="10"/>
        <color theme="1"/>
        <rFont val="Arial"/>
        <family val="2"/>
      </rPr>
      <t>1.</t>
    </r>
    <r>
      <rPr>
        <sz val="10"/>
        <color theme="1"/>
        <rFont val="Arial"/>
        <family val="2"/>
      </rPr>
      <t xml:space="preserve"> Đăng nhập vào bằng tài khoản của Faculty và chọn thêm khóa mới
</t>
    </r>
    <r>
      <rPr>
        <b/>
        <sz val="10"/>
        <color theme="1"/>
        <rFont val="Arial"/>
        <family val="2"/>
      </rPr>
      <t>2.</t>
    </r>
    <r>
      <rPr>
        <sz val="10"/>
        <color theme="1"/>
        <rFont val="Arial"/>
        <family val="2"/>
      </rPr>
      <t xml:space="preserve"> Trên giao diện Thêm Khóa mới, chọn ngành học từ danh sách, nhập Khóa trùng với khóa đã tồn tại cho Ngành học đã chọn và chọn Lưu.</t>
    </r>
  </si>
  <si>
    <t>Sau khi thực hiện bước 2, hệ thống phải thông báo Khóa này đã tồn tại cho ngành học đã chọn.</t>
  </si>
  <si>
    <t>Hệ thống vẫn cho phép lưu thành công mà không có thông báo.</t>
  </si>
  <si>
    <t>New</t>
  </si>
  <si>
    <t>1.0</t>
  </si>
  <si>
    <t>Overall Progress</t>
  </si>
  <si>
    <t>Test Run Status</t>
  </si>
  <si>
    <t>On time</t>
  </si>
  <si>
    <t>Delayed</t>
  </si>
  <si>
    <t>Login</t>
  </si>
  <si>
    <t>Stopped</t>
  </si>
  <si>
    <t>Add Product</t>
  </si>
  <si>
    <t>Update Product</t>
  </si>
  <si>
    <t>Delete Product</t>
  </si>
  <si>
    <t>Add Order</t>
  </si>
  <si>
    <t>Update Order</t>
  </si>
  <si>
    <t>Low</t>
  </si>
  <si>
    <t>Delete Order</t>
  </si>
  <si>
    <t>Add Shopping Cart</t>
  </si>
  <si>
    <t>Update Shopping Cart</t>
  </si>
  <si>
    <t>Create Order</t>
  </si>
  <si>
    <t>Import Thay thế TKB mới bị lỗi</t>
  </si>
  <si>
    <t>DF_TK_02</t>
  </si>
  <si>
    <t>Import thay thê TKB mới bị lỗi khi TKB mới it record hơn cũ, một số record cũ không bị xóa</t>
  </si>
  <si>
    <t>1. Thực hiện import TKB.xls có 5 items với 3 gv, role BCN</t>
  </si>
  <si>
    <t>2. Sửa lại file TKB.xls còn 4 items với 2 gv, import thay thê TKB cũ, role BCN</t>
  </si>
  <si>
    <t>TKB mới thay thế hoàn toàn TKB cũ</t>
  </si>
  <si>
    <t>gv bị xóa vẫn có TKB</t>
  </si>
  <si>
    <t>Bảo Nguyễn</t>
  </si>
  <si>
    <t>Testcases Referred</t>
  </si>
  <si>
    <t>3. Login bằng TK gv bị xóa, thì vẫn thấy TKB</t>
  </si>
  <si>
    <t>F_IN_01.02</t>
  </si>
  <si>
    <t xml:space="preserve">Chỉ tạo được vé bán khi đã đã tạo đầy đủ Phim, phòng chiếu, ghế, </t>
  </si>
  <si>
    <t>Chỉ bán được vé khi đã tạo vé bán thành công</t>
  </si>
  <si>
    <t>Hình 1 - Lỗi 1</t>
  </si>
  <si>
    <t>Hình 2 - Lỗi 2</t>
  </si>
  <si>
    <t>Hình 2</t>
  </si>
  <si>
    <t>Back</t>
  </si>
  <si>
    <t>hính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</si>
</sst>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8"/>
      <color indexed="1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rgb="FF000080"/>
      <name val="Arial"/>
      <family val="2"/>
    </font>
    <font>
      <i/>
      <sz val="10"/>
      <color rgb="FFFF0000"/>
      <name val="Arial"/>
      <family val="2"/>
    </font>
    <font>
      <b/>
      <sz val="10"/>
      <color rgb="FFC00000"/>
      <name val="Arial"/>
      <family val="2"/>
    </font>
    <font>
      <i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2"/>
        <bgColor indexed="27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/>
  </cellStyleXfs>
  <cellXfs count="150">
    <xf numFmtId="0" fontId="0" fillId="0" borderId="0" xfId="0"/>
    <xf numFmtId="0" fontId="4" fillId="0" borderId="0" xfId="2" applyFont="1" applyAlignment="1">
      <alignment vertical="center" wrapText="1"/>
    </xf>
    <xf numFmtId="0" fontId="5" fillId="0" borderId="0" xfId="2" applyFont="1" applyAlignment="1">
      <alignment vertical="center" wrapText="1"/>
    </xf>
    <xf numFmtId="0" fontId="1" fillId="0" borderId="0" xfId="2" applyAlignment="1">
      <alignment vertical="center"/>
    </xf>
    <xf numFmtId="0" fontId="1" fillId="0" borderId="1" xfId="2" applyBorder="1" applyAlignment="1">
      <alignment vertical="center"/>
    </xf>
    <xf numFmtId="0" fontId="6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8" fillId="0" borderId="4" xfId="0" applyFont="1" applyBorder="1" applyAlignment="1">
      <alignment vertical="center"/>
    </xf>
    <xf numFmtId="0" fontId="9" fillId="5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4" xfId="0" applyFont="1" applyBorder="1" applyAlignment="1">
      <alignment vertical="top" wrapText="1"/>
    </xf>
    <xf numFmtId="0" fontId="8" fillId="0" borderId="4" xfId="0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3" xfId="0" quotePrefix="1" applyFont="1" applyBorder="1" applyAlignment="1">
      <alignment horizontal="center" vertical="top"/>
    </xf>
    <xf numFmtId="0" fontId="8" fillId="0" borderId="0" xfId="0" applyFont="1" applyAlignment="1">
      <alignment vertical="top"/>
    </xf>
    <xf numFmtId="0" fontId="5" fillId="3" borderId="10" xfId="2" applyFont="1" applyFill="1" applyBorder="1" applyAlignment="1">
      <alignment vertical="center" wrapText="1"/>
    </xf>
    <xf numFmtId="0" fontId="9" fillId="4" borderId="12" xfId="0" applyFont="1" applyFill="1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9" fillId="8" borderId="12" xfId="0" applyFont="1" applyFill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5" fillId="3" borderId="17" xfId="2" applyFont="1" applyFill="1" applyBorder="1" applyAlignment="1">
      <alignment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 wrapText="1"/>
    </xf>
    <xf numFmtId="15" fontId="1" fillId="0" borderId="20" xfId="2" applyNumberFormat="1" applyBorder="1" applyAlignment="1">
      <alignment horizontal="center" vertical="center" wrapText="1"/>
    </xf>
    <xf numFmtId="49" fontId="1" fillId="0" borderId="21" xfId="2" quotePrefix="1" applyNumberFormat="1" applyBorder="1" applyAlignment="1">
      <alignment horizontal="center" vertical="center" wrapText="1"/>
    </xf>
    <xf numFmtId="0" fontId="1" fillId="0" borderId="23" xfId="2" applyBorder="1" applyAlignment="1">
      <alignment vertical="center" wrapText="1"/>
    </xf>
    <xf numFmtId="0" fontId="1" fillId="0" borderId="22" xfId="2" applyBorder="1" applyAlignment="1">
      <alignment horizontal="center" vertical="center" wrapText="1"/>
    </xf>
    <xf numFmtId="49" fontId="1" fillId="0" borderId="23" xfId="2" applyNumberFormat="1" applyBorder="1" applyAlignment="1">
      <alignment horizontal="center" vertical="center" wrapText="1"/>
    </xf>
    <xf numFmtId="15" fontId="1" fillId="0" borderId="24" xfId="2" applyNumberFormat="1" applyBorder="1" applyAlignment="1">
      <alignment horizontal="center" vertical="center" wrapText="1"/>
    </xf>
    <xf numFmtId="0" fontId="1" fillId="0" borderId="25" xfId="2" applyBorder="1" applyAlignment="1">
      <alignment horizontal="center" vertical="center" wrapText="1"/>
    </xf>
    <xf numFmtId="0" fontId="1" fillId="0" borderId="17" xfId="2" applyBorder="1" applyAlignment="1">
      <alignment horizontal="center" vertical="center" wrapText="1"/>
    </xf>
    <xf numFmtId="0" fontId="1" fillId="0" borderId="26" xfId="2" applyBorder="1" applyAlignment="1">
      <alignment vertical="center" wrapText="1"/>
    </xf>
    <xf numFmtId="0" fontId="1" fillId="0" borderId="18" xfId="2" applyBorder="1" applyAlignment="1">
      <alignment horizontal="center" vertical="center" wrapText="1"/>
    </xf>
    <xf numFmtId="0" fontId="9" fillId="4" borderId="31" xfId="0" applyFont="1" applyFill="1" applyBorder="1" applyAlignment="1">
      <alignment horizontal="right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5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9" fillId="8" borderId="31" xfId="0" applyFont="1" applyFill="1" applyBorder="1" applyAlignment="1">
      <alignment horizontal="right" vertical="center" wrapText="1"/>
    </xf>
    <xf numFmtId="0" fontId="9" fillId="7" borderId="31" xfId="0" applyFont="1" applyFill="1" applyBorder="1" applyAlignment="1">
      <alignment vertical="center" wrapText="1"/>
    </xf>
    <xf numFmtId="0" fontId="10" fillId="0" borderId="35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right" vertical="center" wrapText="1"/>
    </xf>
    <xf numFmtId="0" fontId="9" fillId="0" borderId="36" xfId="0" applyFont="1" applyBorder="1" applyAlignment="1">
      <alignment horizontal="right" vertical="center" wrapText="1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horizontal="center" vertical="center" wrapText="1"/>
    </xf>
    <xf numFmtId="164" fontId="8" fillId="0" borderId="35" xfId="0" applyNumberFormat="1" applyFont="1" applyBorder="1" applyAlignment="1">
      <alignment vertical="center" wrapText="1"/>
    </xf>
    <xf numFmtId="0" fontId="15" fillId="0" borderId="35" xfId="0" applyFont="1" applyBorder="1" applyAlignment="1">
      <alignment vertical="top" wrapText="1"/>
    </xf>
    <xf numFmtId="0" fontId="8" fillId="0" borderId="35" xfId="0" applyFont="1" applyBorder="1" applyAlignment="1">
      <alignment horizontal="left" vertical="center" wrapText="1"/>
    </xf>
    <xf numFmtId="0" fontId="0" fillId="0" borderId="35" xfId="0" applyBorder="1"/>
    <xf numFmtId="0" fontId="7" fillId="0" borderId="35" xfId="0" applyFont="1" applyBorder="1" applyAlignment="1">
      <alignment vertical="center" wrapText="1"/>
    </xf>
    <xf numFmtId="0" fontId="9" fillId="6" borderId="43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9" fillId="6" borderId="45" xfId="0" applyFont="1" applyFill="1" applyBorder="1" applyAlignment="1">
      <alignment horizontal="center" vertical="center"/>
    </xf>
    <xf numFmtId="0" fontId="9" fillId="6" borderId="46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42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35" xfId="0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36" xfId="0" applyFont="1" applyBorder="1" applyAlignment="1">
      <alignment horizontal="center"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19" fillId="0" borderId="4" xfId="3" applyBorder="1" applyAlignment="1">
      <alignment vertical="center"/>
    </xf>
    <xf numFmtId="0" fontId="19" fillId="0" borderId="0" xfId="3"/>
    <xf numFmtId="0" fontId="1" fillId="0" borderId="18" xfId="2" applyBorder="1" applyAlignment="1">
      <alignment horizontal="left" vertical="center" wrapText="1"/>
    </xf>
    <xf numFmtId="0" fontId="5" fillId="3" borderId="19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right" vertical="center" wrapText="1"/>
    </xf>
    <xf numFmtId="0" fontId="3" fillId="2" borderId="15" xfId="2" applyFont="1" applyFill="1" applyBorder="1" applyAlignment="1">
      <alignment horizontal="center" vertical="center" wrapText="1"/>
    </xf>
    <xf numFmtId="0" fontId="6" fillId="3" borderId="16" xfId="2" applyFont="1" applyFill="1" applyBorder="1" applyAlignment="1">
      <alignment horizontal="center" vertical="center" wrapText="1"/>
    </xf>
    <xf numFmtId="0" fontId="1" fillId="0" borderId="11" xfId="2" applyBorder="1" applyAlignment="1">
      <alignment horizontal="left" vertical="center" wrapText="1"/>
    </xf>
    <xf numFmtId="15" fontId="1" fillId="0" borderId="11" xfId="2" applyNumberFormat="1" applyBorder="1" applyAlignment="1">
      <alignment horizontal="left" vertical="center" wrapText="1"/>
    </xf>
    <xf numFmtId="0" fontId="9" fillId="4" borderId="31" xfId="0" applyFont="1" applyFill="1" applyBorder="1" applyAlignment="1">
      <alignment horizontal="right" vertical="top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left" vertical="center" indent="1"/>
    </xf>
    <xf numFmtId="0" fontId="8" fillId="0" borderId="33" xfId="0" applyFont="1" applyBorder="1" applyAlignment="1">
      <alignment horizontal="left" vertical="center" indent="1"/>
    </xf>
    <xf numFmtId="0" fontId="8" fillId="0" borderId="34" xfId="0" applyFont="1" applyBorder="1" applyAlignment="1">
      <alignment horizontal="left" vertical="center" indent="1"/>
    </xf>
    <xf numFmtId="0" fontId="9" fillId="5" borderId="35" xfId="0" applyFont="1" applyFill="1" applyBorder="1" applyAlignment="1">
      <alignment horizontal="center" vertical="center" wrapText="1"/>
    </xf>
    <xf numFmtId="0" fontId="9" fillId="5" borderId="4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 wrapText="1"/>
    </xf>
    <xf numFmtId="0" fontId="9" fillId="5" borderId="42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9" fillId="7" borderId="40" xfId="0" applyFont="1" applyFill="1" applyBorder="1" applyAlignment="1">
      <alignment horizontal="left" vertical="top" wrapText="1"/>
    </xf>
    <xf numFmtId="0" fontId="9" fillId="7" borderId="5" xfId="0" applyFont="1" applyFill="1" applyBorder="1" applyAlignment="1">
      <alignment horizontal="left" vertical="top" wrapText="1"/>
    </xf>
    <xf numFmtId="0" fontId="9" fillId="0" borderId="35" xfId="0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14" fillId="0" borderId="35" xfId="0" applyFont="1" applyBorder="1" applyAlignment="1">
      <alignment horizontal="right" vertical="center" wrapText="1"/>
    </xf>
    <xf numFmtId="0" fontId="14" fillId="0" borderId="36" xfId="0" applyFont="1" applyBorder="1" applyAlignment="1">
      <alignment horizontal="right" vertical="center" wrapText="1"/>
    </xf>
    <xf numFmtId="0" fontId="10" fillId="0" borderId="35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right" vertical="center" wrapText="1"/>
    </xf>
    <xf numFmtId="0" fontId="11" fillId="0" borderId="36" xfId="0" applyFont="1" applyBorder="1" applyAlignment="1">
      <alignment horizontal="right" vertical="center" wrapText="1"/>
    </xf>
    <xf numFmtId="0" fontId="13" fillId="0" borderId="35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right" vertical="center" wrapText="1"/>
    </xf>
    <xf numFmtId="0" fontId="9" fillId="0" borderId="36" xfId="0" applyFont="1" applyBorder="1" applyAlignment="1">
      <alignment horizontal="right" vertical="center" wrapText="1"/>
    </xf>
    <xf numFmtId="0" fontId="3" fillId="2" borderId="27" xfId="2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9" fillId="8" borderId="28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right" vertical="center" wrapText="1"/>
    </xf>
    <xf numFmtId="0" fontId="11" fillId="0" borderId="14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left" vertical="center" wrapText="1"/>
    </xf>
    <xf numFmtId="0" fontId="9" fillId="7" borderId="37" xfId="0" applyFont="1" applyFill="1" applyBorder="1" applyAlignment="1">
      <alignment horizontal="center" vertical="center" wrapText="1"/>
    </xf>
    <xf numFmtId="0" fontId="9" fillId="7" borderId="38" xfId="0" applyFont="1" applyFill="1" applyBorder="1" applyAlignment="1">
      <alignment horizontal="center" vertical="center" wrapText="1"/>
    </xf>
    <xf numFmtId="0" fontId="9" fillId="7" borderId="39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9" fillId="7" borderId="31" xfId="0" applyFont="1" applyFill="1" applyBorder="1" applyAlignment="1">
      <alignment horizontal="left" vertical="top" wrapText="1"/>
    </xf>
    <xf numFmtId="0" fontId="8" fillId="0" borderId="52" xfId="0" applyFont="1" applyBorder="1" applyAlignment="1">
      <alignment horizontal="center" vertical="center"/>
    </xf>
    <xf numFmtId="0" fontId="9" fillId="6" borderId="46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 xr:uid="{E772B63F-650C-4286-90AC-7F7DE8669DAA}"/>
    <cellStyle name="Normal 3" xfId="1" xr:uid="{FF2FB8E9-5E7A-41F5-8C2B-C9321D41EB8E}"/>
  </cellStyles>
  <dxfs count="0"/>
  <tableStyles count="0" defaultTableStyle="TableStyleMedium2" defaultPivotStyle="PivotStyleLight16"/>
  <colors>
    <mruColors>
      <color rgb="FF000080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Runs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6F0-4D9D-BF80-F67B8354D72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6F0-4D9D-BF80-F67B8354D72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6F0-4D9D-BF80-F67B8354D72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49C6-4D39-BE59-0D09DE5A6A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Range'!$D$2:$D$5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Not Executed</c:v>
                </c:pt>
                <c:pt idx="3">
                  <c:v>Blocked</c:v>
                </c:pt>
              </c:strCache>
            </c:strRef>
          </c:cat>
          <c:val>
            <c:numRef>
              <c:f>'Data Range'!$E$2:$E$5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4-4E59-81B9-0B4958239B4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Summary Report'!$J$19</c:f>
              <c:strCache>
                <c:ptCount val="1"/>
                <c:pt idx="0">
                  <c:v>Total Defects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'1. Summary Report'!$J$20:$J$34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4-4059-A480-8A19082D93D5}"/>
            </c:ext>
          </c:extLst>
        </c:ser>
        <c:ser>
          <c:idx val="1"/>
          <c:order val="1"/>
          <c:tx>
            <c:strRef>
              <c:f>'1. Summary Report'!$K$19</c:f>
              <c:strCache>
                <c:ptCount val="1"/>
                <c:pt idx="0">
                  <c:v>Line of code
(LOC)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'1. Summary Report'!$K$20:$K$34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4-4059-A480-8A19082D93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8299272"/>
        <c:axId val="458299600"/>
      </c:lineChart>
      <c:catAx>
        <c:axId val="458299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99600"/>
        <c:crosses val="autoZero"/>
        <c:auto val="1"/>
        <c:lblAlgn val="ctr"/>
        <c:lblOffset val="100"/>
        <c:noMultiLvlLbl val="0"/>
      </c:catAx>
      <c:valAx>
        <c:axId val="458299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9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Defects</a:t>
            </a:r>
            <a:r>
              <a:rPr lang="en-US" baseline="0"/>
              <a:t> By Module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Range'!$H$2</c:f>
              <c:strCache>
                <c:ptCount val="1"/>
                <c:pt idx="0">
                  <c:v>Critical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Range'!$H$3:$H$12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1-4FAC-8E3B-49F3F84BCFA8}"/>
            </c:ext>
          </c:extLst>
        </c:ser>
        <c:ser>
          <c:idx val="1"/>
          <c:order val="1"/>
          <c:tx>
            <c:strRef>
              <c:f>'Data Range'!$I$2</c:f>
              <c:strCache>
                <c:ptCount val="1"/>
                <c:pt idx="0">
                  <c:v>High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Range'!$I$3:$I$12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1-4FAC-8E3B-49F3F84BCFA8}"/>
            </c:ext>
          </c:extLst>
        </c:ser>
        <c:ser>
          <c:idx val="2"/>
          <c:order val="2"/>
          <c:tx>
            <c:strRef>
              <c:f>'Data Range'!$J$2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 Range'!$G$3:$G$12</c:f>
              <c:strCache>
                <c:ptCount val="10"/>
                <c:pt idx="0">
                  <c:v>Login</c:v>
                </c:pt>
                <c:pt idx="1">
                  <c:v>Add Product</c:v>
                </c:pt>
                <c:pt idx="2">
                  <c:v>Update Product</c:v>
                </c:pt>
                <c:pt idx="3">
                  <c:v>Delete Product</c:v>
                </c:pt>
                <c:pt idx="4">
                  <c:v>Add Order</c:v>
                </c:pt>
                <c:pt idx="5">
                  <c:v>Update Order</c:v>
                </c:pt>
                <c:pt idx="6">
                  <c:v>Delete Order</c:v>
                </c:pt>
                <c:pt idx="7">
                  <c:v>Add Shopping Cart</c:v>
                </c:pt>
                <c:pt idx="8">
                  <c:v>Update Shopping Cart</c:v>
                </c:pt>
                <c:pt idx="9">
                  <c:v>Create Order</c:v>
                </c:pt>
              </c:strCache>
            </c:strRef>
          </c:cat>
          <c:val>
            <c:numRef>
              <c:f>'Data Range'!$J$3:$J$12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E1-4FAC-8E3B-49F3F84BC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7616232"/>
        <c:axId val="557617544"/>
      </c:barChart>
      <c:catAx>
        <c:axId val="55761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17544"/>
        <c:crosses val="autoZero"/>
        <c:auto val="1"/>
        <c:lblAlgn val="ctr"/>
        <c:lblOffset val="100"/>
        <c:noMultiLvlLbl val="0"/>
      </c:catAx>
      <c:valAx>
        <c:axId val="55761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1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114300</xdr:rowOff>
    </xdr:from>
    <xdr:to>
      <xdr:col>1</xdr:col>
      <xdr:colOff>1381126</xdr:colOff>
      <xdr:row>0</xdr:row>
      <xdr:rowOff>469754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DB1B9-75BB-4696-B77D-C855280E4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114300"/>
          <a:ext cx="1352550" cy="355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3</xdr:row>
      <xdr:rowOff>0</xdr:rowOff>
    </xdr:from>
    <xdr:to>
      <xdr:col>14</xdr:col>
      <xdr:colOff>9525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03F38D-6704-4D57-9355-28D71764B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18</xdr:row>
      <xdr:rowOff>180975</xdr:rowOff>
    </xdr:from>
    <xdr:to>
      <xdr:col>22</xdr:col>
      <xdr:colOff>295275</xdr:colOff>
      <xdr:row>31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63A11-F998-4F0E-9168-341C4F0F2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196850</xdr:colOff>
      <xdr:row>2</xdr:row>
      <xdr:rowOff>82550</xdr:rowOff>
    </xdr:from>
    <xdr:to>
      <xdr:col>9</xdr:col>
      <xdr:colOff>438150</xdr:colOff>
      <xdr:row>13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4D0B71-0C9F-4E0A-BFC5-E376FD78399C}"/>
            </a:ext>
          </a:extLst>
        </xdr:cNvPr>
        <xdr:cNvSpPr/>
      </xdr:nvSpPr>
      <xdr:spPr>
        <a:xfrm>
          <a:off x="2635250" y="450850"/>
          <a:ext cx="3289300" cy="2108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20</xdr:row>
      <xdr:rowOff>63500</xdr:rowOff>
    </xdr:from>
    <xdr:to>
      <xdr:col>11</xdr:col>
      <xdr:colOff>31750</xdr:colOff>
      <xdr:row>43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4205F6-ABAA-4C85-90C6-AB0A27B795A5}"/>
            </a:ext>
          </a:extLst>
        </xdr:cNvPr>
        <xdr:cNvSpPr/>
      </xdr:nvSpPr>
      <xdr:spPr>
        <a:xfrm>
          <a:off x="3848100" y="3746500"/>
          <a:ext cx="2889250" cy="4298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2</xdr:row>
      <xdr:rowOff>47625</xdr:rowOff>
    </xdr:from>
    <xdr:to>
      <xdr:col>18</xdr:col>
      <xdr:colOff>466725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295AC-D18A-4963-AC70-5C89A8D76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4FC7-9823-4614-A79B-42C9CAA00AC0}">
  <dimension ref="B1:F19"/>
  <sheetViews>
    <sheetView topLeftCell="A4" workbookViewId="0">
      <selection activeCell="D12" sqref="D12"/>
    </sheetView>
  </sheetViews>
  <sheetFormatPr defaultColWidth="9.1796875" defaultRowHeight="18.75" customHeight="1" x14ac:dyDescent="0.35"/>
  <cols>
    <col min="1" max="1" width="1.1796875" style="3" customWidth="1"/>
    <col min="2" max="2" width="20.81640625" style="3" customWidth="1"/>
    <col min="3" max="3" width="16.81640625" style="3" customWidth="1"/>
    <col min="4" max="4" width="43.1796875" style="3" customWidth="1"/>
    <col min="5" max="5" width="21.453125" style="3" customWidth="1"/>
    <col min="6" max="16384" width="9.1796875" style="3"/>
  </cols>
  <sheetData>
    <row r="1" spans="2:6" ht="46.5" customHeight="1" thickBot="1" x14ac:dyDescent="0.4">
      <c r="B1" s="4"/>
      <c r="C1" s="86" t="s">
        <v>0</v>
      </c>
      <c r="D1" s="86"/>
      <c r="E1" s="86"/>
    </row>
    <row r="2" spans="2:6" ht="25.5" customHeight="1" thickBot="1" x14ac:dyDescent="0.4">
      <c r="B2" s="87" t="s">
        <v>1</v>
      </c>
      <c r="C2" s="87"/>
      <c r="D2" s="87"/>
      <c r="E2" s="87"/>
    </row>
    <row r="3" spans="2:6" ht="18.75" customHeight="1" x14ac:dyDescent="0.35">
      <c r="B3" s="1"/>
      <c r="C3" s="1"/>
      <c r="D3" s="2"/>
      <c r="E3" s="5" t="s">
        <v>2</v>
      </c>
      <c r="F3" s="2"/>
    </row>
    <row r="4" spans="2:6" ht="18.75" customHeight="1" thickBot="1" x14ac:dyDescent="0.4">
      <c r="B4" s="1"/>
      <c r="C4" s="1"/>
      <c r="D4" s="2"/>
      <c r="E4" s="6"/>
      <c r="F4" s="2"/>
    </row>
    <row r="5" spans="2:6" ht="18.75" customHeight="1" x14ac:dyDescent="0.35">
      <c r="B5" s="88" t="s">
        <v>3</v>
      </c>
      <c r="C5" s="88"/>
      <c r="D5" s="88"/>
      <c r="E5" s="88"/>
    </row>
    <row r="6" spans="2:6" ht="18.75" customHeight="1" x14ac:dyDescent="0.35">
      <c r="B6" s="28" t="s">
        <v>4</v>
      </c>
      <c r="C6" s="89" t="s">
        <v>5</v>
      </c>
      <c r="D6" s="89"/>
      <c r="E6" s="89"/>
    </row>
    <row r="7" spans="2:6" ht="18.75" customHeight="1" x14ac:dyDescent="0.35">
      <c r="B7" s="28" t="s">
        <v>6</v>
      </c>
      <c r="C7" s="90"/>
      <c r="D7" s="89"/>
      <c r="E7" s="89"/>
    </row>
    <row r="8" spans="2:6" ht="18.75" customHeight="1" x14ac:dyDescent="0.35">
      <c r="B8" s="28" t="s">
        <v>7</v>
      </c>
      <c r="C8" s="89"/>
      <c r="D8" s="89"/>
      <c r="E8" s="89"/>
    </row>
    <row r="9" spans="2:6" ht="18.75" customHeight="1" thickBot="1" x14ac:dyDescent="0.4">
      <c r="B9" s="37" t="s">
        <v>8</v>
      </c>
      <c r="C9" s="84"/>
      <c r="D9" s="84"/>
      <c r="E9" s="84"/>
    </row>
    <row r="10" spans="2:6" ht="18.75" customHeight="1" x14ac:dyDescent="0.35">
      <c r="B10" s="85" t="s">
        <v>9</v>
      </c>
      <c r="C10" s="85"/>
      <c r="D10" s="85"/>
      <c r="E10" s="85"/>
    </row>
    <row r="11" spans="2:6" ht="18.75" customHeight="1" x14ac:dyDescent="0.35">
      <c r="B11" s="38" t="s">
        <v>10</v>
      </c>
      <c r="C11" s="39" t="s">
        <v>11</v>
      </c>
      <c r="D11" s="39" t="s">
        <v>12</v>
      </c>
      <c r="E11" s="40" t="s">
        <v>13</v>
      </c>
    </row>
    <row r="12" spans="2:6" ht="18.75" customHeight="1" x14ac:dyDescent="0.35">
      <c r="B12" s="41"/>
      <c r="C12" s="42"/>
      <c r="D12" s="43"/>
      <c r="E12" s="44"/>
    </row>
    <row r="13" spans="2:6" ht="18.75" customHeight="1" x14ac:dyDescent="0.35">
      <c r="B13" s="41"/>
      <c r="C13" s="45"/>
      <c r="D13" s="43"/>
      <c r="E13" s="44"/>
    </row>
    <row r="14" spans="2:6" ht="18.75" customHeight="1" x14ac:dyDescent="0.35">
      <c r="B14" s="41"/>
      <c r="C14" s="45"/>
      <c r="D14" s="43"/>
      <c r="E14" s="44"/>
    </row>
    <row r="15" spans="2:6" ht="18.75" customHeight="1" x14ac:dyDescent="0.35">
      <c r="B15" s="41"/>
      <c r="C15" s="45"/>
      <c r="D15" s="43"/>
      <c r="E15" s="44"/>
    </row>
    <row r="16" spans="2:6" ht="18.75" customHeight="1" x14ac:dyDescent="0.35">
      <c r="B16" s="46"/>
      <c r="C16" s="45"/>
      <c r="D16" s="43"/>
      <c r="E16" s="44"/>
    </row>
    <row r="17" spans="2:5" ht="18.75" customHeight="1" x14ac:dyDescent="0.35">
      <c r="B17" s="46"/>
      <c r="C17" s="45"/>
      <c r="D17" s="43"/>
      <c r="E17" s="47"/>
    </row>
    <row r="18" spans="2:5" ht="18.75" customHeight="1" thickBot="1" x14ac:dyDescent="0.4">
      <c r="B18" s="48"/>
      <c r="C18" s="49"/>
      <c r="D18" s="49"/>
      <c r="E18" s="50"/>
    </row>
    <row r="19" spans="2:5" ht="18.75" customHeight="1" x14ac:dyDescent="0.35">
      <c r="B19" s="1"/>
      <c r="C19" s="1"/>
    </row>
  </sheetData>
  <mergeCells count="8">
    <mergeCell ref="C9:E9"/>
    <mergeCell ref="B10:E10"/>
    <mergeCell ref="C1:E1"/>
    <mergeCell ref="B2:E2"/>
    <mergeCell ref="B5:E5"/>
    <mergeCell ref="C6:E6"/>
    <mergeCell ref="C7:E7"/>
    <mergeCell ref="C8:E8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CE74-115B-4B62-AB9D-95DD91F42986}">
  <dimension ref="B1:E11"/>
  <sheetViews>
    <sheetView workbookViewId="0">
      <selection activeCell="C8" sqref="C8:E8"/>
    </sheetView>
  </sheetViews>
  <sheetFormatPr defaultColWidth="9.1796875" defaultRowHeight="15.75" customHeight="1" x14ac:dyDescent="0.35"/>
  <cols>
    <col min="1" max="1" width="1.453125" style="7" customWidth="1"/>
    <col min="2" max="2" width="25" style="7" bestFit="1" customWidth="1"/>
    <col min="3" max="3" width="20" style="7" customWidth="1"/>
    <col min="4" max="4" width="19.54296875" style="7" customWidth="1"/>
    <col min="5" max="5" width="17.7265625" style="7" customWidth="1"/>
    <col min="6" max="16384" width="9.1796875" style="7"/>
  </cols>
  <sheetData>
    <row r="1" spans="2:5" ht="15.75" customHeight="1" thickBot="1" x14ac:dyDescent="0.4"/>
    <row r="2" spans="2:5" ht="23.5" thickBot="1" x14ac:dyDescent="0.4">
      <c r="B2" s="95" t="s">
        <v>1</v>
      </c>
      <c r="C2" s="95"/>
      <c r="D2" s="95"/>
      <c r="E2" s="95"/>
    </row>
    <row r="3" spans="2:5" ht="15.75" customHeight="1" thickBot="1" x14ac:dyDescent="0.4"/>
    <row r="4" spans="2:5" ht="15.75" customHeight="1" x14ac:dyDescent="0.35">
      <c r="B4" s="92" t="s">
        <v>14</v>
      </c>
      <c r="C4" s="93"/>
      <c r="D4" s="93"/>
      <c r="E4" s="94"/>
    </row>
    <row r="5" spans="2:5" ht="15.75" customHeight="1" x14ac:dyDescent="0.35">
      <c r="B5" s="51" t="s">
        <v>15</v>
      </c>
      <c r="C5" s="96"/>
      <c r="D5" s="97"/>
      <c r="E5" s="98"/>
    </row>
    <row r="6" spans="2:5" ht="15.75" customHeight="1" x14ac:dyDescent="0.35">
      <c r="B6" s="51" t="s">
        <v>12</v>
      </c>
      <c r="C6" s="96"/>
      <c r="D6" s="97"/>
      <c r="E6" s="98"/>
    </row>
    <row r="7" spans="2:5" ht="15.75" customHeight="1" x14ac:dyDescent="0.35">
      <c r="B7" s="51" t="s">
        <v>16</v>
      </c>
      <c r="C7" s="96"/>
      <c r="D7" s="97"/>
      <c r="E7" s="98"/>
    </row>
    <row r="8" spans="2:5" ht="15.75" customHeight="1" x14ac:dyDescent="0.35">
      <c r="B8" s="51" t="s">
        <v>17</v>
      </c>
      <c r="C8" s="96"/>
      <c r="D8" s="97"/>
      <c r="E8" s="98"/>
    </row>
    <row r="9" spans="2:5" ht="15.75" customHeight="1" x14ac:dyDescent="0.35">
      <c r="B9" s="91" t="s">
        <v>18</v>
      </c>
      <c r="C9" s="52" t="s">
        <v>19</v>
      </c>
      <c r="D9" s="52" t="s">
        <v>20</v>
      </c>
      <c r="E9" s="53" t="s">
        <v>21</v>
      </c>
    </row>
    <row r="10" spans="2:5" ht="15.75" customHeight="1" x14ac:dyDescent="0.35">
      <c r="B10" s="91"/>
      <c r="C10" s="54"/>
      <c r="D10" s="54"/>
      <c r="E10" s="55"/>
    </row>
    <row r="11" spans="2:5" ht="15.75" customHeight="1" thickBot="1" x14ac:dyDescent="0.4">
      <c r="B11" s="29" t="s">
        <v>22</v>
      </c>
      <c r="C11" s="30"/>
      <c r="D11" s="30"/>
      <c r="E11" s="31"/>
    </row>
  </sheetData>
  <mergeCells count="7">
    <mergeCell ref="B9:B10"/>
    <mergeCell ref="B4:E4"/>
    <mergeCell ref="B2:E2"/>
    <mergeCell ref="C5:E5"/>
    <mergeCell ref="C6:E6"/>
    <mergeCell ref="C7:E7"/>
    <mergeCell ref="C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B3D3-F670-48DE-9770-D5F0149B7BD1}">
  <dimension ref="B1:N34"/>
  <sheetViews>
    <sheetView topLeftCell="B7" workbookViewId="0">
      <selection activeCell="C14" sqref="C14:I14"/>
    </sheetView>
  </sheetViews>
  <sheetFormatPr defaultColWidth="9.1796875" defaultRowHeight="15.75" customHeight="1" x14ac:dyDescent="0.35"/>
  <cols>
    <col min="1" max="1" width="2" style="8" customWidth="1"/>
    <col min="2" max="2" width="44.54296875" style="8" bestFit="1" customWidth="1"/>
    <col min="3" max="3" width="8.453125" style="8" customWidth="1"/>
    <col min="4" max="4" width="8.7265625" style="8" customWidth="1"/>
    <col min="5" max="6" width="7.453125" style="8" customWidth="1"/>
    <col min="7" max="7" width="9.453125" style="8" customWidth="1"/>
    <col min="8" max="8" width="8.1796875" style="8" customWidth="1"/>
    <col min="9" max="9" width="7.453125" style="8" customWidth="1"/>
    <col min="10" max="12" width="8.453125" style="8" customWidth="1"/>
    <col min="13" max="13" width="6.81640625" style="8" customWidth="1"/>
    <col min="14" max="14" width="35.1796875" style="8" customWidth="1"/>
    <col min="15" max="16384" width="9.1796875" style="8"/>
  </cols>
  <sheetData>
    <row r="1" spans="2:14" ht="15.75" customHeight="1" thickBot="1" x14ac:dyDescent="0.4"/>
    <row r="2" spans="2:14" ht="29.25" customHeight="1" thickBot="1" x14ac:dyDescent="0.4">
      <c r="B2" s="118" t="s">
        <v>1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2:14" s="9" customFormat="1" ht="15.75" customHeight="1" thickBot="1" x14ac:dyDescent="0.4"/>
    <row r="4" spans="2:14" s="9" customFormat="1" ht="15.75" customHeight="1" x14ac:dyDescent="0.35">
      <c r="B4" s="122" t="s">
        <v>23</v>
      </c>
      <c r="C4" s="123"/>
      <c r="D4" s="123"/>
      <c r="E4" s="123"/>
      <c r="F4" s="123"/>
      <c r="G4" s="123"/>
      <c r="H4" s="123"/>
      <c r="I4" s="124"/>
    </row>
    <row r="5" spans="2:14" s="9" customFormat="1" ht="15.75" customHeight="1" x14ac:dyDescent="0.35">
      <c r="B5" s="56" t="s">
        <v>24</v>
      </c>
      <c r="C5" s="131"/>
      <c r="D5" s="131"/>
      <c r="E5" s="131"/>
      <c r="F5" s="131"/>
      <c r="G5" s="131"/>
      <c r="H5" s="131"/>
      <c r="I5" s="132"/>
    </row>
    <row r="6" spans="2:14" s="9" customFormat="1" ht="15.75" customHeight="1" thickBot="1" x14ac:dyDescent="0.4">
      <c r="B6" s="32" t="s">
        <v>25</v>
      </c>
      <c r="C6" s="133"/>
      <c r="D6" s="133"/>
      <c r="E6" s="133"/>
      <c r="F6" s="133"/>
      <c r="G6" s="133"/>
      <c r="H6" s="133"/>
      <c r="I6" s="134"/>
    </row>
    <row r="7" spans="2:14" s="9" customFormat="1" ht="8.25" customHeight="1" thickBot="1" x14ac:dyDescent="0.4"/>
    <row r="8" spans="2:14" s="9" customFormat="1" ht="15.75" customHeight="1" x14ac:dyDescent="0.35">
      <c r="B8" s="128" t="s">
        <v>26</v>
      </c>
      <c r="C8" s="129"/>
      <c r="D8" s="129"/>
      <c r="E8" s="129"/>
      <c r="F8" s="129"/>
      <c r="G8" s="129"/>
      <c r="H8" s="129"/>
      <c r="I8" s="130"/>
    </row>
    <row r="9" spans="2:14" s="9" customFormat="1" ht="15.75" customHeight="1" x14ac:dyDescent="0.35">
      <c r="B9" s="16" t="s">
        <v>27</v>
      </c>
      <c r="C9" s="119">
        <f>G12+C13+C14</f>
        <v>0</v>
      </c>
      <c r="D9" s="119"/>
      <c r="E9" s="119"/>
      <c r="F9" s="119"/>
      <c r="G9" s="119"/>
      <c r="H9" s="119"/>
      <c r="I9" s="120"/>
    </row>
    <row r="10" spans="2:14" s="9" customFormat="1" ht="15.75" customHeight="1" x14ac:dyDescent="0.35">
      <c r="B10" s="135" t="s">
        <v>28</v>
      </c>
      <c r="C10" s="112" t="s">
        <v>29</v>
      </c>
      <c r="D10" s="112"/>
      <c r="E10" s="112"/>
      <c r="F10" s="112"/>
      <c r="G10" s="116">
        <f>'Data Range'!E2</f>
        <v>0</v>
      </c>
      <c r="H10" s="116"/>
      <c r="I10" s="117"/>
    </row>
    <row r="11" spans="2:14" s="9" customFormat="1" ht="15.75" customHeight="1" x14ac:dyDescent="0.35">
      <c r="B11" s="135"/>
      <c r="C11" s="115" t="s">
        <v>30</v>
      </c>
      <c r="D11" s="115"/>
      <c r="E11" s="115"/>
      <c r="F11" s="115"/>
      <c r="G11" s="113">
        <f>'Data Range'!E3</f>
        <v>0</v>
      </c>
      <c r="H11" s="113"/>
      <c r="I11" s="114"/>
    </row>
    <row r="12" spans="2:14" s="9" customFormat="1" ht="30" customHeight="1" x14ac:dyDescent="0.35">
      <c r="B12" s="135"/>
      <c r="C12" s="112" t="s">
        <v>31</v>
      </c>
      <c r="D12" s="112"/>
      <c r="E12" s="112"/>
      <c r="F12" s="112"/>
      <c r="G12" s="116">
        <f>SUM('1. Summary Report'!G10:I11)</f>
        <v>0</v>
      </c>
      <c r="H12" s="116"/>
      <c r="I12" s="117"/>
    </row>
    <row r="13" spans="2:14" s="9" customFormat="1" ht="15.75" customHeight="1" x14ac:dyDescent="0.35">
      <c r="B13" s="57" t="s">
        <v>32</v>
      </c>
      <c r="C13" s="108">
        <f>'Data Range'!E4</f>
        <v>0</v>
      </c>
      <c r="D13" s="108"/>
      <c r="E13" s="108"/>
      <c r="F13" s="108"/>
      <c r="G13" s="108"/>
      <c r="H13" s="108"/>
      <c r="I13" s="109"/>
    </row>
    <row r="14" spans="2:14" s="9" customFormat="1" ht="15.75" customHeight="1" x14ac:dyDescent="0.35">
      <c r="B14" s="57" t="s">
        <v>33</v>
      </c>
      <c r="C14" s="110">
        <f>'Data Range'!E5</f>
        <v>0</v>
      </c>
      <c r="D14" s="110"/>
      <c r="E14" s="110"/>
      <c r="F14" s="110"/>
      <c r="G14" s="110"/>
      <c r="H14" s="110"/>
      <c r="I14" s="111"/>
    </row>
    <row r="15" spans="2:14" s="9" customFormat="1" ht="15.75" customHeight="1" x14ac:dyDescent="0.35">
      <c r="B15" s="106" t="s">
        <v>34</v>
      </c>
      <c r="C15" s="58" t="s">
        <v>35</v>
      </c>
      <c r="D15" s="59"/>
      <c r="E15" s="58" t="s">
        <v>36</v>
      </c>
      <c r="F15" s="59"/>
      <c r="G15" s="105" t="s">
        <v>37</v>
      </c>
      <c r="H15" s="105"/>
      <c r="I15" s="60"/>
    </row>
    <row r="16" spans="2:14" s="9" customFormat="1" ht="27" customHeight="1" thickBot="1" x14ac:dyDescent="0.4">
      <c r="B16" s="107"/>
      <c r="C16" s="127" t="s">
        <v>38</v>
      </c>
      <c r="D16" s="127"/>
      <c r="E16" s="127"/>
      <c r="F16" s="127"/>
      <c r="G16" s="125">
        <f>D15+F15+I15</f>
        <v>0</v>
      </c>
      <c r="H16" s="125"/>
      <c r="I16" s="126"/>
    </row>
    <row r="17" spans="2:14" s="9" customFormat="1" ht="8.25" customHeight="1" x14ac:dyDescent="0.35">
      <c r="C17" s="10"/>
      <c r="D17" s="11"/>
      <c r="E17" s="10"/>
      <c r="F17" s="12"/>
      <c r="G17" s="10"/>
      <c r="H17" s="12"/>
    </row>
    <row r="18" spans="2:14" s="9" customFormat="1" ht="15.75" customHeight="1" x14ac:dyDescent="0.35">
      <c r="B18" s="100" t="s">
        <v>39</v>
      </c>
      <c r="C18" s="100" t="s">
        <v>40</v>
      </c>
      <c r="D18" s="100" t="s">
        <v>41</v>
      </c>
      <c r="E18" s="103" t="s">
        <v>42</v>
      </c>
      <c r="F18" s="103"/>
      <c r="G18" s="103"/>
      <c r="H18" s="103"/>
      <c r="I18" s="104"/>
      <c r="J18" s="121" t="s">
        <v>43</v>
      </c>
      <c r="K18" s="103"/>
      <c r="L18" s="103"/>
      <c r="M18" s="104"/>
      <c r="N18" s="100" t="s">
        <v>44</v>
      </c>
    </row>
    <row r="19" spans="2:14" s="9" customFormat="1" ht="15.75" customHeight="1" x14ac:dyDescent="0.35">
      <c r="B19" s="102"/>
      <c r="C19" s="102"/>
      <c r="D19" s="102"/>
      <c r="E19" s="103" t="s">
        <v>45</v>
      </c>
      <c r="F19" s="103"/>
      <c r="G19" s="103"/>
      <c r="H19" s="104"/>
      <c r="I19" s="100" t="s">
        <v>46</v>
      </c>
      <c r="J19" s="99" t="s">
        <v>47</v>
      </c>
      <c r="K19" s="99" t="s">
        <v>48</v>
      </c>
      <c r="L19" s="100" t="s">
        <v>49</v>
      </c>
      <c r="M19" s="100" t="s">
        <v>50</v>
      </c>
      <c r="N19" s="102"/>
    </row>
    <row r="20" spans="2:14" s="9" customFormat="1" ht="26.25" customHeight="1" x14ac:dyDescent="0.35">
      <c r="B20" s="101"/>
      <c r="C20" s="101"/>
      <c r="D20" s="101"/>
      <c r="E20" s="15" t="s">
        <v>29</v>
      </c>
      <c r="F20" s="15" t="s">
        <v>30</v>
      </c>
      <c r="G20" s="15" t="s">
        <v>32</v>
      </c>
      <c r="H20" s="15" t="s">
        <v>33</v>
      </c>
      <c r="I20" s="101"/>
      <c r="J20" s="99"/>
      <c r="K20" s="99"/>
      <c r="L20" s="101"/>
      <c r="M20" s="101"/>
      <c r="N20" s="101"/>
    </row>
    <row r="21" spans="2:14" s="9" customFormat="1" ht="30" customHeight="1" x14ac:dyDescent="0.35">
      <c r="B21" s="61" t="s">
        <v>98</v>
      </c>
      <c r="C21" s="62" t="s">
        <v>36</v>
      </c>
      <c r="D21" s="61">
        <v>3</v>
      </c>
      <c r="E21" s="61">
        <v>2</v>
      </c>
      <c r="F21" s="61">
        <v>1</v>
      </c>
      <c r="G21" s="61">
        <v>0</v>
      </c>
      <c r="H21" s="61">
        <v>0</v>
      </c>
      <c r="I21" s="63">
        <f>IFERROR(F21/D21,0)</f>
        <v>0.33333333333333331</v>
      </c>
      <c r="J21" s="64"/>
      <c r="K21" s="64"/>
      <c r="L21" s="61"/>
      <c r="M21" s="63">
        <f>IFERROR(L21/J21,0)</f>
        <v>0</v>
      </c>
      <c r="N21" s="65"/>
    </row>
    <row r="22" spans="2:14" s="9" customFormat="1" ht="29.5" customHeight="1" x14ac:dyDescent="0.35">
      <c r="B22" s="61" t="s">
        <v>99</v>
      </c>
      <c r="C22" s="62" t="s">
        <v>36</v>
      </c>
      <c r="D22" s="61">
        <v>8</v>
      </c>
      <c r="E22" s="61">
        <v>2</v>
      </c>
      <c r="F22" s="61">
        <v>3</v>
      </c>
      <c r="G22" s="61">
        <v>1</v>
      </c>
      <c r="H22" s="61">
        <v>2</v>
      </c>
      <c r="I22" s="63">
        <f t="shared" ref="I22:I34" si="0">IFERROR(F22/D22,0)</f>
        <v>0.375</v>
      </c>
      <c r="J22" s="66"/>
      <c r="K22" s="66"/>
      <c r="L22" s="61"/>
      <c r="M22" s="63">
        <f t="shared" ref="M22:M34" si="1">IFERROR(L22/J22,0)</f>
        <v>0</v>
      </c>
      <c r="N22" s="65"/>
    </row>
    <row r="23" spans="2:14" s="9" customFormat="1" ht="15.75" customHeight="1" x14ac:dyDescent="0.35">
      <c r="B23" s="61"/>
      <c r="C23" s="62"/>
      <c r="D23" s="61">
        <f t="shared" ref="D23:D34" si="2">SUM(E23:H23)</f>
        <v>0</v>
      </c>
      <c r="E23" s="61"/>
      <c r="F23" s="61"/>
      <c r="G23" s="61"/>
      <c r="H23" s="61"/>
      <c r="I23" s="63">
        <f t="shared" si="0"/>
        <v>0</v>
      </c>
      <c r="J23" s="66"/>
      <c r="K23" s="66"/>
      <c r="L23" s="61"/>
      <c r="M23" s="63">
        <f t="shared" si="1"/>
        <v>0</v>
      </c>
      <c r="N23" s="65"/>
    </row>
    <row r="24" spans="2:14" s="9" customFormat="1" ht="15.75" customHeight="1" x14ac:dyDescent="0.35">
      <c r="B24" s="61"/>
      <c r="C24" s="62"/>
      <c r="D24" s="61">
        <f t="shared" si="2"/>
        <v>0</v>
      </c>
      <c r="E24" s="61"/>
      <c r="F24" s="61"/>
      <c r="G24" s="61"/>
      <c r="H24" s="61"/>
      <c r="I24" s="63">
        <f t="shared" si="0"/>
        <v>0</v>
      </c>
      <c r="J24" s="66"/>
      <c r="K24" s="66"/>
      <c r="L24" s="61"/>
      <c r="M24" s="63">
        <f t="shared" si="1"/>
        <v>0</v>
      </c>
      <c r="N24" s="65"/>
    </row>
    <row r="25" spans="2:14" s="9" customFormat="1" ht="15.75" customHeight="1" x14ac:dyDescent="0.35">
      <c r="B25" s="61"/>
      <c r="C25" s="62"/>
      <c r="D25" s="61">
        <f t="shared" si="2"/>
        <v>0</v>
      </c>
      <c r="E25" s="61"/>
      <c r="F25" s="61"/>
      <c r="G25" s="61"/>
      <c r="H25" s="61"/>
      <c r="I25" s="63">
        <f t="shared" si="0"/>
        <v>0</v>
      </c>
      <c r="J25" s="66"/>
      <c r="K25" s="66"/>
      <c r="L25" s="61"/>
      <c r="M25" s="63">
        <f t="shared" si="1"/>
        <v>0</v>
      </c>
      <c r="N25" s="65"/>
    </row>
    <row r="26" spans="2:14" ht="15.75" customHeight="1" x14ac:dyDescent="0.35">
      <c r="B26" s="67"/>
      <c r="C26" s="62"/>
      <c r="D26" s="61">
        <f t="shared" si="2"/>
        <v>0</v>
      </c>
      <c r="E26" s="67"/>
      <c r="F26" s="67"/>
      <c r="G26" s="67"/>
      <c r="H26" s="61"/>
      <c r="I26" s="63">
        <f t="shared" si="0"/>
        <v>0</v>
      </c>
      <c r="J26" s="66"/>
      <c r="K26" s="66"/>
      <c r="L26" s="67"/>
      <c r="M26" s="63">
        <f t="shared" si="1"/>
        <v>0</v>
      </c>
      <c r="N26" s="65"/>
    </row>
    <row r="27" spans="2:14" ht="15.75" customHeight="1" x14ac:dyDescent="0.35">
      <c r="B27" s="67"/>
      <c r="C27" s="62"/>
      <c r="D27" s="61">
        <f t="shared" si="2"/>
        <v>0</v>
      </c>
      <c r="E27" s="67"/>
      <c r="F27" s="67"/>
      <c r="G27" s="67"/>
      <c r="H27" s="61"/>
      <c r="I27" s="63">
        <f t="shared" si="0"/>
        <v>0</v>
      </c>
      <c r="J27" s="66"/>
      <c r="K27" s="66"/>
      <c r="L27" s="67"/>
      <c r="M27" s="63">
        <f t="shared" si="1"/>
        <v>0</v>
      </c>
      <c r="N27" s="65"/>
    </row>
    <row r="28" spans="2:14" ht="15.75" customHeight="1" x14ac:dyDescent="0.35">
      <c r="B28" s="67"/>
      <c r="C28" s="62"/>
      <c r="D28" s="61">
        <f t="shared" si="2"/>
        <v>0</v>
      </c>
      <c r="E28" s="67"/>
      <c r="F28" s="67"/>
      <c r="G28" s="67"/>
      <c r="H28" s="61"/>
      <c r="I28" s="63">
        <f t="shared" si="0"/>
        <v>0</v>
      </c>
      <c r="J28" s="66"/>
      <c r="K28" s="66"/>
      <c r="L28" s="67"/>
      <c r="M28" s="63">
        <f t="shared" si="1"/>
        <v>0</v>
      </c>
      <c r="N28" s="65"/>
    </row>
    <row r="29" spans="2:14" ht="15.75" customHeight="1" x14ac:dyDescent="0.35">
      <c r="B29" s="67"/>
      <c r="C29" s="62"/>
      <c r="D29" s="61">
        <f t="shared" si="2"/>
        <v>0</v>
      </c>
      <c r="E29" s="67"/>
      <c r="F29" s="67"/>
      <c r="G29" s="67"/>
      <c r="H29" s="61"/>
      <c r="I29" s="63">
        <f t="shared" si="0"/>
        <v>0</v>
      </c>
      <c r="J29" s="67"/>
      <c r="K29" s="67"/>
      <c r="L29" s="67"/>
      <c r="M29" s="63">
        <f t="shared" si="1"/>
        <v>0</v>
      </c>
      <c r="N29" s="65"/>
    </row>
    <row r="30" spans="2:14" ht="15.75" customHeight="1" x14ac:dyDescent="0.35">
      <c r="B30" s="67"/>
      <c r="C30" s="62"/>
      <c r="D30" s="61">
        <f t="shared" si="2"/>
        <v>0</v>
      </c>
      <c r="E30" s="67"/>
      <c r="F30" s="67"/>
      <c r="G30" s="67"/>
      <c r="H30" s="61"/>
      <c r="I30" s="63">
        <f t="shared" si="0"/>
        <v>0</v>
      </c>
      <c r="J30" s="67"/>
      <c r="K30" s="67"/>
      <c r="L30" s="67"/>
      <c r="M30" s="63">
        <f t="shared" si="1"/>
        <v>0</v>
      </c>
      <c r="N30" s="65"/>
    </row>
    <row r="31" spans="2:14" ht="15.75" customHeight="1" x14ac:dyDescent="0.35">
      <c r="B31" s="67"/>
      <c r="C31" s="62"/>
      <c r="D31" s="61">
        <f t="shared" si="2"/>
        <v>0</v>
      </c>
      <c r="E31" s="67"/>
      <c r="F31" s="67"/>
      <c r="G31" s="67"/>
      <c r="H31" s="61"/>
      <c r="I31" s="63">
        <f t="shared" si="0"/>
        <v>0</v>
      </c>
      <c r="J31" s="67"/>
      <c r="K31" s="67"/>
      <c r="L31" s="67"/>
      <c r="M31" s="63">
        <f t="shared" si="1"/>
        <v>0</v>
      </c>
      <c r="N31" s="65"/>
    </row>
    <row r="32" spans="2:14" ht="15.75" customHeight="1" x14ac:dyDescent="0.35">
      <c r="B32" s="67"/>
      <c r="C32" s="62"/>
      <c r="D32" s="61">
        <f t="shared" si="2"/>
        <v>0</v>
      </c>
      <c r="E32" s="67"/>
      <c r="F32" s="67"/>
      <c r="G32" s="67"/>
      <c r="H32" s="61"/>
      <c r="I32" s="63">
        <f t="shared" si="0"/>
        <v>0</v>
      </c>
      <c r="J32" s="67"/>
      <c r="K32" s="67"/>
      <c r="L32" s="67"/>
      <c r="M32" s="63">
        <f t="shared" si="1"/>
        <v>0</v>
      </c>
      <c r="N32" s="65"/>
    </row>
    <row r="33" spans="2:14" ht="15.75" customHeight="1" x14ac:dyDescent="0.35">
      <c r="B33" s="67"/>
      <c r="C33" s="62"/>
      <c r="D33" s="61">
        <f t="shared" si="2"/>
        <v>0</v>
      </c>
      <c r="E33" s="67"/>
      <c r="F33" s="67"/>
      <c r="G33" s="67"/>
      <c r="H33" s="61"/>
      <c r="I33" s="63">
        <f t="shared" si="0"/>
        <v>0</v>
      </c>
      <c r="J33" s="67"/>
      <c r="K33" s="67"/>
      <c r="L33" s="67"/>
      <c r="M33" s="63">
        <f t="shared" si="1"/>
        <v>0</v>
      </c>
      <c r="N33" s="65"/>
    </row>
    <row r="34" spans="2:14" ht="15.75" customHeight="1" x14ac:dyDescent="0.35">
      <c r="B34" s="67"/>
      <c r="C34" s="62"/>
      <c r="D34" s="61">
        <f t="shared" si="2"/>
        <v>0</v>
      </c>
      <c r="E34" s="67"/>
      <c r="F34" s="67"/>
      <c r="G34" s="67"/>
      <c r="H34" s="61"/>
      <c r="I34" s="63">
        <f t="shared" si="0"/>
        <v>0</v>
      </c>
      <c r="J34" s="67"/>
      <c r="K34" s="67"/>
      <c r="L34" s="67"/>
      <c r="M34" s="63">
        <f t="shared" si="1"/>
        <v>0</v>
      </c>
      <c r="N34" s="65"/>
    </row>
  </sheetData>
  <mergeCells count="31">
    <mergeCell ref="B2:N2"/>
    <mergeCell ref="C9:I9"/>
    <mergeCell ref="C18:C20"/>
    <mergeCell ref="B18:B20"/>
    <mergeCell ref="J18:M18"/>
    <mergeCell ref="M19:M20"/>
    <mergeCell ref="B4:I4"/>
    <mergeCell ref="G16:I16"/>
    <mergeCell ref="C16:F16"/>
    <mergeCell ref="B8:I8"/>
    <mergeCell ref="C5:I5"/>
    <mergeCell ref="C6:I6"/>
    <mergeCell ref="D18:D20"/>
    <mergeCell ref="I19:I20"/>
    <mergeCell ref="B10:B12"/>
    <mergeCell ref="G10:I10"/>
    <mergeCell ref="C10:F10"/>
    <mergeCell ref="G11:I11"/>
    <mergeCell ref="C11:F11"/>
    <mergeCell ref="G12:I12"/>
    <mergeCell ref="C12:F12"/>
    <mergeCell ref="G15:H15"/>
    <mergeCell ref="B15:B16"/>
    <mergeCell ref="C13:I13"/>
    <mergeCell ref="C14:I14"/>
    <mergeCell ref="J19:J20"/>
    <mergeCell ref="K19:K20"/>
    <mergeCell ref="L19:L20"/>
    <mergeCell ref="N18:N20"/>
    <mergeCell ref="E18:I18"/>
    <mergeCell ref="E19:H19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F6CFF1-01BF-4A7E-803D-34D609584650}">
          <x14:formula1>
            <xm:f>'Data Range'!$B$7:$B$9</xm:f>
          </x14:formula1>
          <xm:sqref>C21:C34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5973-D943-4B75-981E-0D28449446EB}">
  <dimension ref="B1:Q26"/>
  <sheetViews>
    <sheetView topLeftCell="G1" workbookViewId="0">
      <selection activeCell="I5" sqref="I5"/>
    </sheetView>
  </sheetViews>
  <sheetFormatPr defaultColWidth="9.1796875" defaultRowHeight="15.75" customHeight="1" x14ac:dyDescent="0.35"/>
  <cols>
    <col min="1" max="1" width="3.1796875" style="7" customWidth="1"/>
    <col min="2" max="2" width="4" style="18" bestFit="1" customWidth="1"/>
    <col min="3" max="3" width="20.81640625" style="7" customWidth="1"/>
    <col min="4" max="4" width="9.81640625" style="7" customWidth="1"/>
    <col min="5" max="5" width="24" style="7" customWidth="1"/>
    <col min="6" max="6" width="34.26953125" style="7" customWidth="1"/>
    <col min="7" max="7" width="10.54296875" style="7" customWidth="1"/>
    <col min="8" max="8" width="8" style="7" customWidth="1"/>
    <col min="9" max="10" width="15.81640625" style="7" customWidth="1"/>
    <col min="11" max="11" width="7.54296875" style="18" bestFit="1" customWidth="1"/>
    <col min="12" max="12" width="8.453125" style="18" bestFit="1" customWidth="1"/>
    <col min="13" max="13" width="6.54296875" style="18" bestFit="1" customWidth="1"/>
    <col min="14" max="14" width="11.81640625" style="7" bestFit="1" customWidth="1"/>
    <col min="15" max="15" width="11.81640625" style="7" customWidth="1"/>
    <col min="16" max="16" width="9.81640625" style="18" bestFit="1" customWidth="1"/>
    <col min="17" max="17" width="21.08984375" style="7" customWidth="1"/>
    <col min="18" max="16384" width="9.1796875" style="7"/>
  </cols>
  <sheetData>
    <row r="1" spans="2:17" ht="9" customHeight="1" thickBot="1" x14ac:dyDescent="0.4"/>
    <row r="2" spans="2:17" ht="23.5" thickBot="1" x14ac:dyDescent="0.4">
      <c r="B2" s="95" t="s">
        <v>51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2:17" ht="15.75" customHeight="1" thickBot="1" x14ac:dyDescent="0.4"/>
    <row r="4" spans="2:17" ht="39.5" thickBot="1" x14ac:dyDescent="0.4">
      <c r="B4" s="68" t="s">
        <v>52</v>
      </c>
      <c r="C4" s="69" t="s">
        <v>39</v>
      </c>
      <c r="D4" s="70" t="s">
        <v>53</v>
      </c>
      <c r="E4" s="70" t="s">
        <v>54</v>
      </c>
      <c r="F4" s="70" t="s">
        <v>55</v>
      </c>
      <c r="G4" s="137" t="s">
        <v>56</v>
      </c>
      <c r="H4" s="138"/>
      <c r="I4" s="69" t="s">
        <v>57</v>
      </c>
      <c r="J4" s="69" t="s">
        <v>58</v>
      </c>
      <c r="K4" s="70" t="s">
        <v>40</v>
      </c>
      <c r="L4" s="70" t="s">
        <v>59</v>
      </c>
      <c r="M4" s="70" t="s">
        <v>45</v>
      </c>
      <c r="N4" s="71" t="s">
        <v>60</v>
      </c>
      <c r="O4" s="71" t="s">
        <v>61</v>
      </c>
      <c r="P4" s="72" t="s">
        <v>62</v>
      </c>
      <c r="Q4" s="72" t="s">
        <v>95</v>
      </c>
    </row>
    <row r="5" spans="2:17" s="27" customFormat="1" ht="88.5" x14ac:dyDescent="0.35">
      <c r="B5" s="20">
        <v>1</v>
      </c>
      <c r="C5" s="21" t="s">
        <v>63</v>
      </c>
      <c r="D5" s="22" t="s">
        <v>64</v>
      </c>
      <c r="E5" s="23" t="s">
        <v>65</v>
      </c>
      <c r="F5" s="23" t="s">
        <v>66</v>
      </c>
      <c r="G5" s="23" t="s">
        <v>104</v>
      </c>
      <c r="H5" s="23"/>
      <c r="I5" s="23" t="s">
        <v>67</v>
      </c>
      <c r="J5" s="23" t="s">
        <v>68</v>
      </c>
      <c r="K5" s="24" t="s">
        <v>36</v>
      </c>
      <c r="L5" s="24" t="s">
        <v>36</v>
      </c>
      <c r="M5" s="24" t="s">
        <v>69</v>
      </c>
      <c r="N5" s="25"/>
      <c r="O5" s="25"/>
      <c r="P5" s="26" t="s">
        <v>70</v>
      </c>
    </row>
    <row r="6" spans="2:17" ht="15.75" customHeight="1" x14ac:dyDescent="0.35">
      <c r="B6" s="73"/>
      <c r="C6" s="74"/>
      <c r="D6" s="75"/>
      <c r="E6" s="75"/>
      <c r="F6" s="75"/>
      <c r="G6" s="14"/>
      <c r="H6" s="14"/>
      <c r="I6" s="14"/>
      <c r="J6" s="14"/>
      <c r="K6" s="19"/>
      <c r="L6" s="19"/>
      <c r="M6" s="76"/>
      <c r="N6" s="77"/>
      <c r="O6" s="77"/>
      <c r="P6" s="78"/>
    </row>
    <row r="7" spans="2:17" ht="21" customHeight="1" x14ac:dyDescent="0.35">
      <c r="B7" s="73">
        <v>2</v>
      </c>
      <c r="C7" s="74" t="s">
        <v>87</v>
      </c>
      <c r="D7" s="22" t="s">
        <v>88</v>
      </c>
      <c r="E7" s="75" t="s">
        <v>89</v>
      </c>
      <c r="F7" s="61" t="s">
        <v>90</v>
      </c>
      <c r="G7" s="14"/>
      <c r="H7" s="14"/>
      <c r="I7" s="139" t="s">
        <v>92</v>
      </c>
      <c r="J7" s="139" t="s">
        <v>93</v>
      </c>
      <c r="K7" s="142" t="s">
        <v>36</v>
      </c>
      <c r="L7" s="142" t="s">
        <v>36</v>
      </c>
      <c r="M7" s="142" t="s">
        <v>69</v>
      </c>
      <c r="N7" s="142" t="s">
        <v>94</v>
      </c>
      <c r="O7" s="145">
        <v>45957</v>
      </c>
      <c r="P7" s="146" t="s">
        <v>70</v>
      </c>
      <c r="Q7" s="136" t="s">
        <v>97</v>
      </c>
    </row>
    <row r="8" spans="2:17" ht="23.5" customHeight="1" x14ac:dyDescent="0.35">
      <c r="B8" s="73"/>
      <c r="C8" s="74"/>
      <c r="D8" s="75"/>
      <c r="E8" s="75"/>
      <c r="F8" s="61" t="s">
        <v>91</v>
      </c>
      <c r="G8" s="14"/>
      <c r="H8" s="14"/>
      <c r="I8" s="140"/>
      <c r="J8" s="140"/>
      <c r="K8" s="143"/>
      <c r="L8" s="143"/>
      <c r="M8" s="143"/>
      <c r="N8" s="143"/>
      <c r="O8" s="143"/>
      <c r="P8" s="147"/>
      <c r="Q8" s="136"/>
    </row>
    <row r="9" spans="2:17" ht="15.75" customHeight="1" x14ac:dyDescent="0.35">
      <c r="B9" s="73"/>
      <c r="C9" s="74"/>
      <c r="D9" s="75"/>
      <c r="E9" s="75"/>
      <c r="F9" s="61" t="s">
        <v>96</v>
      </c>
      <c r="G9" s="82" t="s">
        <v>102</v>
      </c>
      <c r="H9" s="14"/>
      <c r="I9" s="141"/>
      <c r="J9" s="141"/>
      <c r="K9" s="144"/>
      <c r="L9" s="144"/>
      <c r="M9" s="144"/>
      <c r="N9" s="144"/>
      <c r="O9" s="144"/>
      <c r="P9" s="148"/>
      <c r="Q9" s="136"/>
    </row>
    <row r="10" spans="2:17" ht="15.75" customHeight="1" x14ac:dyDescent="0.35">
      <c r="B10" s="73"/>
      <c r="C10" s="74"/>
      <c r="D10" s="75"/>
      <c r="E10" s="75"/>
      <c r="F10" s="75"/>
      <c r="G10" s="14"/>
      <c r="H10" s="14"/>
      <c r="I10" s="14"/>
      <c r="J10" s="14"/>
      <c r="K10" s="19"/>
      <c r="L10" s="19"/>
      <c r="M10" s="76"/>
      <c r="N10" s="77"/>
      <c r="O10" s="77"/>
      <c r="P10" s="78"/>
    </row>
    <row r="11" spans="2:17" ht="15.75" customHeight="1" x14ac:dyDescent="0.35">
      <c r="B11" s="73"/>
      <c r="C11" s="74"/>
      <c r="D11" s="75"/>
      <c r="E11" s="75"/>
      <c r="F11" s="75"/>
      <c r="G11" s="14"/>
      <c r="H11" s="14"/>
      <c r="I11" s="14"/>
      <c r="J11" s="14"/>
      <c r="K11" s="19"/>
      <c r="L11" s="19"/>
      <c r="M11" s="76"/>
      <c r="N11" s="77"/>
      <c r="O11" s="77"/>
      <c r="P11" s="78"/>
    </row>
    <row r="12" spans="2:17" ht="15.75" customHeight="1" x14ac:dyDescent="0.35">
      <c r="B12" s="73"/>
      <c r="C12" s="74"/>
      <c r="D12" s="75"/>
      <c r="E12" s="75"/>
      <c r="F12" s="75"/>
      <c r="G12" s="14"/>
      <c r="H12" s="14"/>
      <c r="I12" s="14"/>
      <c r="J12" s="14"/>
      <c r="K12" s="19"/>
      <c r="L12" s="19"/>
      <c r="M12" s="76"/>
      <c r="N12" s="77"/>
      <c r="O12" s="77"/>
      <c r="P12" s="78"/>
    </row>
    <row r="13" spans="2:17" ht="15.75" customHeight="1" x14ac:dyDescent="0.35">
      <c r="B13" s="73"/>
      <c r="C13" s="74"/>
      <c r="D13" s="75"/>
      <c r="E13" s="75"/>
      <c r="F13" s="75"/>
      <c r="G13" s="14"/>
      <c r="H13" s="14"/>
      <c r="I13" s="14"/>
      <c r="J13" s="14"/>
      <c r="K13" s="19"/>
      <c r="L13" s="19"/>
      <c r="M13" s="76"/>
      <c r="N13" s="77"/>
      <c r="O13" s="77"/>
      <c r="P13" s="78"/>
    </row>
    <row r="14" spans="2:17" ht="15.75" customHeight="1" x14ac:dyDescent="0.35">
      <c r="B14" s="73"/>
      <c r="C14" s="74"/>
      <c r="D14" s="75"/>
      <c r="E14" s="75"/>
      <c r="F14" s="75"/>
      <c r="G14" s="14"/>
      <c r="H14" s="14"/>
      <c r="I14" s="14"/>
      <c r="J14" s="14"/>
      <c r="K14" s="19"/>
      <c r="L14" s="19"/>
      <c r="M14" s="76"/>
      <c r="N14" s="77"/>
      <c r="O14" s="77"/>
      <c r="P14" s="78"/>
    </row>
    <row r="15" spans="2:17" ht="15.75" customHeight="1" x14ac:dyDescent="0.35">
      <c r="B15" s="73"/>
      <c r="C15" s="74"/>
      <c r="D15" s="75"/>
      <c r="E15" s="75"/>
      <c r="F15" s="75"/>
      <c r="G15" s="14"/>
      <c r="H15" s="14"/>
      <c r="I15" s="14"/>
      <c r="J15" s="14"/>
      <c r="K15" s="19"/>
      <c r="L15" s="19"/>
      <c r="M15" s="76"/>
      <c r="N15" s="77"/>
      <c r="O15" s="77"/>
      <c r="P15" s="78"/>
    </row>
    <row r="16" spans="2:17" ht="15.75" customHeight="1" x14ac:dyDescent="0.35">
      <c r="B16" s="73"/>
      <c r="C16" s="74"/>
      <c r="D16" s="75"/>
      <c r="E16" s="75"/>
      <c r="F16" s="75"/>
      <c r="G16" s="14"/>
      <c r="H16" s="14"/>
      <c r="I16" s="14"/>
      <c r="J16" s="14"/>
      <c r="K16" s="19"/>
      <c r="L16" s="19"/>
      <c r="M16" s="76"/>
      <c r="N16" s="77"/>
      <c r="O16" s="77"/>
      <c r="P16" s="78"/>
    </row>
    <row r="17" spans="2:16" ht="15.75" customHeight="1" x14ac:dyDescent="0.35">
      <c r="B17" s="73"/>
      <c r="C17" s="74"/>
      <c r="D17" s="75"/>
      <c r="E17" s="75"/>
      <c r="F17" s="75"/>
      <c r="G17" s="14"/>
      <c r="H17" s="14"/>
      <c r="I17" s="14"/>
      <c r="J17" s="14"/>
      <c r="K17" s="19"/>
      <c r="L17" s="19"/>
      <c r="M17" s="76"/>
      <c r="N17" s="77"/>
      <c r="O17" s="77"/>
      <c r="P17" s="78"/>
    </row>
    <row r="18" spans="2:16" ht="15.75" customHeight="1" x14ac:dyDescent="0.35">
      <c r="B18" s="73"/>
      <c r="C18" s="74"/>
      <c r="D18" s="75"/>
      <c r="E18" s="75"/>
      <c r="F18" s="75"/>
      <c r="G18" s="14"/>
      <c r="H18" s="14"/>
      <c r="I18" s="14"/>
      <c r="J18" s="14"/>
      <c r="K18" s="19"/>
      <c r="L18" s="19"/>
      <c r="M18" s="76"/>
      <c r="N18" s="77"/>
      <c r="O18" s="77"/>
      <c r="P18" s="78"/>
    </row>
    <row r="19" spans="2:16" ht="15.75" customHeight="1" x14ac:dyDescent="0.35">
      <c r="B19" s="73"/>
      <c r="C19" s="74"/>
      <c r="D19" s="75"/>
      <c r="E19" s="75"/>
      <c r="F19" s="75"/>
      <c r="G19" s="14"/>
      <c r="H19" s="14"/>
      <c r="I19" s="14"/>
      <c r="J19" s="14"/>
      <c r="K19" s="19"/>
      <c r="L19" s="19"/>
      <c r="M19" s="76"/>
      <c r="N19" s="77"/>
      <c r="O19" s="77"/>
      <c r="P19" s="78"/>
    </row>
    <row r="20" spans="2:16" ht="15.75" customHeight="1" x14ac:dyDescent="0.35">
      <c r="B20" s="73"/>
      <c r="C20" s="74"/>
      <c r="D20" s="75"/>
      <c r="E20" s="75"/>
      <c r="F20" s="75"/>
      <c r="G20" s="14"/>
      <c r="H20" s="14"/>
      <c r="I20" s="14"/>
      <c r="J20" s="14"/>
      <c r="K20" s="19"/>
      <c r="L20" s="19"/>
      <c r="M20" s="76"/>
      <c r="N20" s="77"/>
      <c r="O20" s="77"/>
      <c r="P20" s="78"/>
    </row>
    <row r="21" spans="2:16" ht="15.75" customHeight="1" x14ac:dyDescent="0.35">
      <c r="B21" s="73"/>
      <c r="C21" s="74"/>
      <c r="D21" s="75"/>
      <c r="E21" s="75"/>
      <c r="F21" s="75"/>
      <c r="G21" s="14"/>
      <c r="H21" s="14"/>
      <c r="I21" s="14"/>
      <c r="J21" s="14"/>
      <c r="K21" s="19"/>
      <c r="L21" s="19"/>
      <c r="M21" s="76"/>
      <c r="N21" s="77"/>
      <c r="O21" s="77"/>
      <c r="P21" s="78"/>
    </row>
    <row r="22" spans="2:16" ht="15.75" customHeight="1" x14ac:dyDescent="0.35">
      <c r="B22" s="73"/>
      <c r="C22" s="74"/>
      <c r="D22" s="75"/>
      <c r="E22" s="75"/>
      <c r="F22" s="75"/>
      <c r="G22" s="14"/>
      <c r="H22" s="14"/>
      <c r="I22" s="14"/>
      <c r="J22" s="14"/>
      <c r="K22" s="19"/>
      <c r="L22" s="19"/>
      <c r="M22" s="76"/>
      <c r="N22" s="77"/>
      <c r="O22" s="77"/>
      <c r="P22" s="78"/>
    </row>
    <row r="23" spans="2:16" ht="15.75" customHeight="1" x14ac:dyDescent="0.35">
      <c r="B23" s="73"/>
      <c r="C23" s="74"/>
      <c r="D23" s="75"/>
      <c r="E23" s="75"/>
      <c r="F23" s="75"/>
      <c r="G23" s="14"/>
      <c r="H23" s="14"/>
      <c r="I23" s="14"/>
      <c r="J23" s="14"/>
      <c r="K23" s="19"/>
      <c r="L23" s="19"/>
      <c r="M23" s="76"/>
      <c r="N23" s="77"/>
      <c r="O23" s="77"/>
      <c r="P23" s="78"/>
    </row>
    <row r="24" spans="2:16" ht="15.75" customHeight="1" x14ac:dyDescent="0.35">
      <c r="B24" s="73"/>
      <c r="C24" s="74"/>
      <c r="D24" s="75"/>
      <c r="E24" s="75"/>
      <c r="F24" s="75"/>
      <c r="G24" s="14"/>
      <c r="H24" s="14"/>
      <c r="I24" s="14"/>
      <c r="J24" s="14"/>
      <c r="K24" s="19"/>
      <c r="L24" s="19"/>
      <c r="M24" s="76"/>
      <c r="N24" s="77"/>
      <c r="O24" s="77"/>
      <c r="P24" s="78"/>
    </row>
    <row r="25" spans="2:16" ht="15.75" customHeight="1" x14ac:dyDescent="0.35">
      <c r="B25" s="73"/>
      <c r="C25" s="74"/>
      <c r="D25" s="75"/>
      <c r="E25" s="75"/>
      <c r="F25" s="75"/>
      <c r="G25" s="14"/>
      <c r="H25" s="14"/>
      <c r="I25" s="14"/>
      <c r="J25" s="14"/>
      <c r="K25" s="19"/>
      <c r="L25" s="19"/>
      <c r="M25" s="76"/>
      <c r="N25" s="77"/>
      <c r="O25" s="77"/>
      <c r="P25" s="78"/>
    </row>
    <row r="26" spans="2:16" ht="15.75" customHeight="1" thickBot="1" x14ac:dyDescent="0.4">
      <c r="B26" s="33"/>
      <c r="C26" s="79"/>
      <c r="D26" s="34"/>
      <c r="E26" s="34"/>
      <c r="F26" s="34"/>
      <c r="G26" s="34"/>
      <c r="H26" s="34"/>
      <c r="I26" s="34"/>
      <c r="J26" s="34"/>
      <c r="K26" s="35"/>
      <c r="L26" s="35"/>
      <c r="M26" s="35"/>
      <c r="N26" s="80"/>
      <c r="O26" s="80"/>
      <c r="P26" s="36"/>
    </row>
  </sheetData>
  <mergeCells count="11">
    <mergeCell ref="Q7:Q9"/>
    <mergeCell ref="G4:H4"/>
    <mergeCell ref="B2:P2"/>
    <mergeCell ref="I7:I9"/>
    <mergeCell ref="J7:J9"/>
    <mergeCell ref="K7:K9"/>
    <mergeCell ref="L7:L9"/>
    <mergeCell ref="M7:M9"/>
    <mergeCell ref="N7:N9"/>
    <mergeCell ref="O7:O9"/>
    <mergeCell ref="P7:P9"/>
  </mergeCells>
  <hyperlinks>
    <hyperlink ref="G9" location="Evident!G47" display="Hình 2" xr:uid="{4A6D7A77-8413-4564-81FF-453AAC2565A9}"/>
  </hyperlink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CCE53C-FDCF-4CA1-B6CD-7F46F5D5FFC7}">
          <x14:formula1>
            <xm:f>'Data Range'!$B$7:$B$9</xm:f>
          </x14:formula1>
          <xm:sqref>K5:K7 K10:K26</xm:sqref>
        </x14:dataValidation>
        <x14:dataValidation type="list" allowBlank="1" showInputMessage="1" showErrorMessage="1" xr:uid="{6E582DB1-BBDD-4E85-B996-8A3AAACF8690}">
          <x14:formula1>
            <xm:f>'Data Range'!$B$12:$B$15</xm:f>
          </x14:formula1>
          <xm:sqref>L5:L7 L10:L26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C965-DC37-4ADF-9AF1-B3401BF1E6A2}">
  <dimension ref="E16:G47"/>
  <sheetViews>
    <sheetView tabSelected="1" topLeftCell="A16" workbookViewId="0">
      <selection activeCell="E47" sqref="E47"/>
    </sheetView>
  </sheetViews>
  <sheetFormatPr defaultRowHeight="14.5" x14ac:dyDescent="0.35"/>
  <sheetData>
    <row r="16" spans="6:6" x14ac:dyDescent="0.35">
      <c r="F16" t="s">
        <v>100</v>
      </c>
    </row>
    <row r="47" spans="5:7" x14ac:dyDescent="0.35">
      <c r="E47" s="83" t="s">
        <v>103</v>
      </c>
      <c r="G47" t="s">
        <v>101</v>
      </c>
    </row>
  </sheetData>
  <hyperlinks>
    <hyperlink ref="E47" location="'2. Defects Report'!B7" display="Back" xr:uid="{7DC2D983-2801-4536-81E5-623C769269B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6258-B316-4E48-9A1E-73245184F575}">
  <dimension ref="B1:J15"/>
  <sheetViews>
    <sheetView topLeftCell="D1" workbookViewId="0">
      <selection activeCell="J4" sqref="J4"/>
    </sheetView>
  </sheetViews>
  <sheetFormatPr defaultColWidth="9.1796875" defaultRowHeight="14.5" x14ac:dyDescent="0.35"/>
  <cols>
    <col min="1" max="1" width="9.1796875" style="13"/>
    <col min="2" max="2" width="15.54296875" style="13" bestFit="1" customWidth="1"/>
    <col min="3" max="6" width="9.1796875" style="13"/>
    <col min="7" max="7" width="20.453125" style="13" bestFit="1" customWidth="1"/>
    <col min="8" max="16384" width="9.1796875" style="13"/>
  </cols>
  <sheetData>
    <row r="1" spans="2:10" x14ac:dyDescent="0.35">
      <c r="B1" s="17" t="s">
        <v>71</v>
      </c>
      <c r="D1" s="149" t="s">
        <v>72</v>
      </c>
      <c r="E1" s="149"/>
    </row>
    <row r="2" spans="2:10" x14ac:dyDescent="0.35">
      <c r="B2" s="13" t="s">
        <v>73</v>
      </c>
      <c r="D2" s="61" t="s">
        <v>29</v>
      </c>
      <c r="E2" s="61">
        <v>0</v>
      </c>
      <c r="G2" s="13" t="s">
        <v>39</v>
      </c>
      <c r="H2" s="13" t="s">
        <v>35</v>
      </c>
      <c r="I2" s="13" t="s">
        <v>36</v>
      </c>
      <c r="J2" s="13" t="s">
        <v>37</v>
      </c>
    </row>
    <row r="3" spans="2:10" x14ac:dyDescent="0.35">
      <c r="B3" s="13" t="s">
        <v>74</v>
      </c>
      <c r="D3" s="61" t="s">
        <v>30</v>
      </c>
      <c r="E3" s="61">
        <v>0</v>
      </c>
      <c r="G3" s="13" t="s">
        <v>75</v>
      </c>
      <c r="H3" s="13">
        <v>0</v>
      </c>
      <c r="I3" s="13">
        <v>2</v>
      </c>
      <c r="J3" s="13">
        <v>3</v>
      </c>
    </row>
    <row r="4" spans="2:10" ht="25" x14ac:dyDescent="0.35">
      <c r="B4" s="13" t="s">
        <v>76</v>
      </c>
      <c r="D4" s="61" t="s">
        <v>32</v>
      </c>
      <c r="E4" s="61">
        <v>0</v>
      </c>
      <c r="G4" s="13" t="s">
        <v>77</v>
      </c>
      <c r="H4" s="13">
        <v>1</v>
      </c>
      <c r="I4" s="13">
        <v>2</v>
      </c>
      <c r="J4" s="13">
        <v>2</v>
      </c>
    </row>
    <row r="5" spans="2:10" x14ac:dyDescent="0.35">
      <c r="D5" s="81" t="s">
        <v>33</v>
      </c>
      <c r="E5" s="81">
        <v>0</v>
      </c>
      <c r="G5" s="13" t="s">
        <v>78</v>
      </c>
      <c r="H5" s="13">
        <v>0</v>
      </c>
      <c r="I5" s="13">
        <v>3</v>
      </c>
      <c r="J5" s="13">
        <v>1</v>
      </c>
    </row>
    <row r="6" spans="2:10" x14ac:dyDescent="0.35">
      <c r="B6" s="17" t="s">
        <v>40</v>
      </c>
      <c r="G6" s="13" t="s">
        <v>79</v>
      </c>
      <c r="H6" s="13">
        <v>1</v>
      </c>
      <c r="I6" s="13">
        <v>1</v>
      </c>
      <c r="J6" s="13">
        <v>0</v>
      </c>
    </row>
    <row r="7" spans="2:10" x14ac:dyDescent="0.35">
      <c r="B7" s="13" t="s">
        <v>36</v>
      </c>
      <c r="G7" s="13" t="s">
        <v>80</v>
      </c>
      <c r="H7" s="13">
        <v>0</v>
      </c>
      <c r="I7" s="13">
        <v>3</v>
      </c>
      <c r="J7" s="13">
        <v>1</v>
      </c>
    </row>
    <row r="8" spans="2:10" x14ac:dyDescent="0.35">
      <c r="B8" s="13" t="s">
        <v>37</v>
      </c>
      <c r="G8" s="13" t="s">
        <v>81</v>
      </c>
      <c r="H8" s="13">
        <v>0</v>
      </c>
      <c r="I8" s="13">
        <v>0</v>
      </c>
      <c r="J8" s="13">
        <v>2</v>
      </c>
    </row>
    <row r="9" spans="2:10" x14ac:dyDescent="0.35">
      <c r="B9" s="13" t="s">
        <v>82</v>
      </c>
      <c r="G9" s="13" t="s">
        <v>83</v>
      </c>
      <c r="H9" s="13">
        <v>0</v>
      </c>
      <c r="I9" s="13">
        <v>1</v>
      </c>
      <c r="J9" s="13">
        <v>2</v>
      </c>
    </row>
    <row r="10" spans="2:10" x14ac:dyDescent="0.35">
      <c r="G10" s="13" t="s">
        <v>84</v>
      </c>
      <c r="H10" s="13">
        <v>0</v>
      </c>
      <c r="I10" s="13">
        <v>2</v>
      </c>
      <c r="J10" s="13">
        <v>1</v>
      </c>
    </row>
    <row r="11" spans="2:10" x14ac:dyDescent="0.35">
      <c r="B11" s="17" t="s">
        <v>59</v>
      </c>
      <c r="G11" s="13" t="s">
        <v>85</v>
      </c>
      <c r="H11" s="13">
        <v>0</v>
      </c>
      <c r="I11" s="13">
        <v>1</v>
      </c>
      <c r="J11" s="13">
        <v>1</v>
      </c>
    </row>
    <row r="12" spans="2:10" x14ac:dyDescent="0.35">
      <c r="B12" s="13" t="s">
        <v>35</v>
      </c>
      <c r="G12" s="13" t="s">
        <v>86</v>
      </c>
      <c r="H12" s="13">
        <v>1</v>
      </c>
      <c r="I12" s="13">
        <v>3</v>
      </c>
      <c r="J12" s="13">
        <v>2</v>
      </c>
    </row>
    <row r="13" spans="2:10" x14ac:dyDescent="0.35">
      <c r="B13" s="13" t="s">
        <v>36</v>
      </c>
    </row>
    <row r="14" spans="2:10" x14ac:dyDescent="0.35">
      <c r="B14" s="13" t="s">
        <v>37</v>
      </c>
    </row>
    <row r="15" spans="2:10" x14ac:dyDescent="0.35">
      <c r="B15" s="13" t="s">
        <v>82</v>
      </c>
    </row>
  </sheetData>
  <mergeCells count="1">
    <mergeCell ref="D1:E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2FB7E3-ADD2-44C2-94CD-171E298690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0. Project Information</vt:lpstr>
      <vt:lpstr>1. Summary Report</vt:lpstr>
      <vt:lpstr>2. Defects Report</vt:lpstr>
      <vt:lpstr>Evident</vt:lpstr>
      <vt:lpstr>Data 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2025-11-04T09:50:34Z</dcterms:modified>
  <cp:category/>
  <cp:contentStatus/>
</cp:coreProperties>
</file>